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strichwerke-my.sharepoint.com/personal/alexander_schlenvoigt_estrichwerke_onmicrosoft_com/Documents/01 - Estrich Werke Süddeutschland/Geschäftsbetrieb/03 - Aufträge/2026/Bien-Zenker/BV Gebuhr, Bad Wörishofen/01 - Auftrag/"/>
    </mc:Choice>
  </mc:AlternateContent>
  <xr:revisionPtr revIDLastSave="81" documentId="8_{3CE89F0C-97C2-4F30-8C1D-140D78FAE9F9}" xr6:coauthVersionLast="47" xr6:coauthVersionMax="47" xr10:uidLastSave="{6C321ABB-AE2B-4199-85AF-808068CD538B}"/>
  <bookViews>
    <workbookView xWindow="20370" yWindow="-2355" windowWidth="29040" windowHeight="15840" xr2:uid="{00000000-000D-0000-FFFF-FFFF00000000}"/>
  </bookViews>
  <sheets>
    <sheet name="Auftrag" sheetId="1" r:id="rId1"/>
    <sheet name="Material" sheetId="5" r:id="rId2"/>
    <sheet name="Bestellung" sheetId="6" r:id="rId3"/>
    <sheet name="Preise Lieferanten" sheetId="4" r:id="rId4"/>
    <sheet name="Leistungen" sheetId="2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5" l="1" a="1"/>
  <c r="G42" i="5" s="1"/>
  <c r="H42" i="5" s="1"/>
  <c r="G3" i="5" a="1"/>
  <c r="G3" i="5" s="1"/>
  <c r="J3" i="5" s="1"/>
  <c r="G32" i="5"/>
  <c r="I32" i="5" s="1"/>
  <c r="G31" i="5"/>
  <c r="I31" i="5" s="1"/>
  <c r="G30" i="5"/>
  <c r="I30" i="5" s="1"/>
  <c r="G2" i="5" a="1"/>
  <c r="G2" i="5" s="1"/>
  <c r="J2" i="5" s="1"/>
  <c r="A4" i="6"/>
  <c r="A3" i="6"/>
  <c r="F5" i="5"/>
  <c r="F27" i="5"/>
  <c r="G27" i="5" s="1"/>
  <c r="F26" i="5"/>
  <c r="G26" i="5" s="1"/>
  <c r="F25" i="5"/>
  <c r="G25" i="5" s="1"/>
  <c r="F23" i="5"/>
  <c r="G23" i="5" s="1"/>
  <c r="F22" i="5"/>
  <c r="G22" i="5" s="1"/>
  <c r="F21" i="5"/>
  <c r="G21" i="5" s="1"/>
  <c r="F20" i="5"/>
  <c r="G20" i="5" s="1"/>
  <c r="F19" i="5"/>
  <c r="G19" i="5" s="1"/>
  <c r="F17" i="5"/>
  <c r="F16" i="5"/>
  <c r="F15" i="5"/>
  <c r="F14" i="5"/>
  <c r="F12" i="5"/>
  <c r="F11" i="5"/>
  <c r="F10" i="5"/>
  <c r="F9" i="5"/>
  <c r="F8" i="5"/>
  <c r="F7" i="5"/>
  <c r="F6" i="5"/>
  <c r="N1" i="5"/>
  <c r="J36" i="5"/>
  <c r="I36" i="5"/>
  <c r="H36" i="5"/>
  <c r="G43" i="5" l="1" a="1"/>
  <c r="G43" i="5" s="1"/>
  <c r="H43" i="5" s="1"/>
  <c r="H30" i="5"/>
  <c r="H31" i="5"/>
  <c r="H32" i="5"/>
  <c r="I2" i="5"/>
  <c r="K30" i="5"/>
  <c r="K31" i="5"/>
  <c r="K32" i="5"/>
  <c r="J30" i="5"/>
  <c r="J31" i="5"/>
  <c r="J32" i="5"/>
  <c r="H2" i="5"/>
  <c r="K2" i="5"/>
  <c r="K3" i="5"/>
  <c r="I3" i="5"/>
  <c r="H3" i="5"/>
  <c r="F34" i="5"/>
  <c r="H34" i="5" s="1"/>
  <c r="H35" i="5"/>
  <c r="I35" i="5"/>
  <c r="K36" i="5"/>
  <c r="G17" i="5"/>
  <c r="J17" i="5" s="1"/>
  <c r="G16" i="5"/>
  <c r="H16" i="5" s="1"/>
  <c r="G15" i="5"/>
  <c r="H15" i="5" s="1"/>
  <c r="G14" i="5"/>
  <c r="I14" i="5" s="1"/>
  <c r="G12" i="5"/>
  <c r="J12" i="5" s="1"/>
  <c r="G11" i="5"/>
  <c r="H11" i="5" s="1"/>
  <c r="G10" i="5"/>
  <c r="H10" i="5" s="1"/>
  <c r="G9" i="5"/>
  <c r="I9" i="5" s="1"/>
  <c r="G8" i="5"/>
  <c r="J8" i="5" s="1"/>
  <c r="G7" i="5"/>
  <c r="J7" i="5" s="1"/>
  <c r="G6" i="5"/>
  <c r="J6" i="5" s="1"/>
  <c r="G5" i="5"/>
  <c r="K5" i="5" s="1"/>
  <c r="A8" i="6" l="1" a="1"/>
  <c r="A8" i="6" s="1"/>
  <c r="B8" i="6" a="1"/>
  <c r="B8" i="6" s="1"/>
  <c r="C8" i="6" a="1"/>
  <c r="C8" i="6" s="1"/>
  <c r="D8" i="6" a="1"/>
  <c r="D8" i="6" s="1"/>
  <c r="K10" i="5"/>
  <c r="I8" i="5"/>
  <c r="H8" i="5"/>
  <c r="H17" i="5"/>
  <c r="I17" i="5"/>
  <c r="K17" i="5"/>
  <c r="K16" i="5"/>
  <c r="I16" i="5"/>
  <c r="I15" i="5"/>
  <c r="K15" i="5"/>
  <c r="K12" i="5"/>
  <c r="I12" i="5"/>
  <c r="H12" i="5"/>
  <c r="K11" i="5"/>
  <c r="I11" i="5"/>
  <c r="I10" i="5"/>
  <c r="K8" i="5"/>
  <c r="I7" i="5"/>
  <c r="K7" i="5"/>
  <c r="K6" i="5"/>
  <c r="J35" i="5"/>
  <c r="K34" i="5"/>
  <c r="J34" i="5"/>
  <c r="K35" i="5"/>
  <c r="I34" i="5"/>
  <c r="H5" i="5"/>
  <c r="J9" i="5"/>
  <c r="J14" i="5"/>
  <c r="I5" i="5"/>
  <c r="J10" i="5"/>
  <c r="J15" i="5"/>
  <c r="H9" i="5"/>
  <c r="H14" i="5"/>
  <c r="J5" i="5"/>
  <c r="J11" i="5"/>
  <c r="J16" i="5"/>
  <c r="K9" i="5"/>
  <c r="K14" i="5"/>
  <c r="H7" i="5"/>
  <c r="I6" i="5"/>
  <c r="H6" i="5"/>
  <c r="H38" i="5" l="1"/>
  <c r="J38" i="5"/>
  <c r="I38" i="5"/>
  <c r="K38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<sst xmlns="http://schemas.openxmlformats.org/spreadsheetml/2006/main" count="215" uniqueCount="105">
  <si>
    <t>AG:</t>
  </si>
  <si>
    <t>BL:</t>
  </si>
  <si>
    <t>Tel:</t>
  </si>
  <si>
    <t>BV:</t>
  </si>
  <si>
    <t>Estrich-Art:</t>
  </si>
  <si>
    <t>Anschrift:</t>
  </si>
  <si>
    <t>Termin:</t>
  </si>
  <si>
    <t>Gesamtfläche:</t>
  </si>
  <si>
    <t>Sandlieferung:</t>
  </si>
  <si>
    <t>Lieferant:</t>
  </si>
  <si>
    <t>Ansprechpartner, Tel.</t>
  </si>
  <si>
    <t>Gewicht:</t>
  </si>
  <si>
    <t>Ankunft:</t>
  </si>
  <si>
    <t>OG:</t>
  </si>
  <si>
    <t>Aufbau:</t>
  </si>
  <si>
    <t>Estrich:</t>
  </si>
  <si>
    <t>Dämmung:</t>
  </si>
  <si>
    <t>EG:</t>
  </si>
  <si>
    <t>UG:</t>
  </si>
  <si>
    <t>m²</t>
  </si>
  <si>
    <t>Art</t>
  </si>
  <si>
    <t>Belag</t>
  </si>
  <si>
    <t>Stärke</t>
  </si>
  <si>
    <t>Baustofflieferung:</t>
  </si>
  <si>
    <t>Im DG mehr Multi!!!</t>
  </si>
  <si>
    <t>Zementestrich</t>
  </si>
  <si>
    <t>Anhydritestrich</t>
  </si>
  <si>
    <t>Fließestrich</t>
  </si>
  <si>
    <t>Estrich</t>
  </si>
  <si>
    <t>Dämmung</t>
  </si>
  <si>
    <t>Trittschall</t>
  </si>
  <si>
    <t>EPS DEO 035</t>
  </si>
  <si>
    <t>Tackerplatte</t>
  </si>
  <si>
    <t>Trittschalldämmung aus Mineralfaser</t>
  </si>
  <si>
    <t>gebundene Splittschüttung</t>
  </si>
  <si>
    <t>ME</t>
  </si>
  <si>
    <t>VPE</t>
  </si>
  <si>
    <t>WeGo</t>
  </si>
  <si>
    <t>Kemmler</t>
  </si>
  <si>
    <t>Baustoff + Metall</t>
  </si>
  <si>
    <t>Münzinger</t>
  </si>
  <si>
    <t>Lanxess Anhydritbinder</t>
  </si>
  <si>
    <t>25 Kg Sack</t>
  </si>
  <si>
    <t>1 Sack</t>
  </si>
  <si>
    <t>Zement CEM I 42,5 N</t>
  </si>
  <si>
    <t>DEO 035</t>
  </si>
  <si>
    <t>m³</t>
  </si>
  <si>
    <t>Trittschall DES 045 SM</t>
  </si>
  <si>
    <t>Folie</t>
  </si>
  <si>
    <t>100 m²</t>
  </si>
  <si>
    <t>1 Rolle</t>
  </si>
  <si>
    <t>Staubex Plus</t>
  </si>
  <si>
    <t>150 Liter Sack</t>
  </si>
  <si>
    <t>Randstreifen mit Folienlasche</t>
  </si>
  <si>
    <t>50 m</t>
  </si>
  <si>
    <t>Europalette</t>
  </si>
  <si>
    <t>Stück</t>
  </si>
  <si>
    <t>Staplerentladung</t>
  </si>
  <si>
    <t>to</t>
  </si>
  <si>
    <t>Hub</t>
  </si>
  <si>
    <t>Anlieferzuschlag inland</t>
  </si>
  <si>
    <t>Lohistikpauschale Inland</t>
  </si>
  <si>
    <t>Kemmler Zufuhrservice über 50 km</t>
  </si>
  <si>
    <t>Maut- und CO² Pauschale</t>
  </si>
  <si>
    <t>Entladung mit LKW-Bordkran / Tonne
Ab 2 Tonnen, Rundung auf volle Tonnen</t>
  </si>
  <si>
    <t>Fracht</t>
  </si>
  <si>
    <t>Treibstoffkostenzuschlag</t>
  </si>
  <si>
    <t>Maut</t>
  </si>
  <si>
    <t>Katja</t>
  </si>
  <si>
    <t>Faltplatte 15 mm WLG 045</t>
  </si>
  <si>
    <t>10 m²</t>
  </si>
  <si>
    <t>Faltplatte 22/20 WLG 045</t>
  </si>
  <si>
    <t>Faltplatte 27/25 WLG 045</t>
  </si>
  <si>
    <t>Faltplatte 33/30 WLG 045</t>
  </si>
  <si>
    <t>Faltplatte 38/35 WLG 045</t>
  </si>
  <si>
    <t>Faltplatte 43/40 WLG 045</t>
  </si>
  <si>
    <t>Anhydritbinder</t>
  </si>
  <si>
    <t>Sack</t>
  </si>
  <si>
    <t>Zement</t>
  </si>
  <si>
    <t>Sack (125L)</t>
  </si>
  <si>
    <t>Rolle (50m)</t>
  </si>
  <si>
    <t>Rolle (100 m²)</t>
  </si>
  <si>
    <t>Europaletten</t>
  </si>
  <si>
    <t>Stk</t>
  </si>
  <si>
    <t>Zufuhr</t>
  </si>
  <si>
    <t>Summe</t>
  </si>
  <si>
    <t>Mischungsverhältnis</t>
  </si>
  <si>
    <t>Randstreifen + PE-Folie + Perlit</t>
  </si>
  <si>
    <t>Estrichsand 0/8 mm Sieblinie A/B</t>
  </si>
  <si>
    <t>Edelsplitt 2-5 mm</t>
  </si>
  <si>
    <t>Sehr geehrte Damen und Herren,</t>
  </si>
  <si>
    <t>Pack</t>
  </si>
  <si>
    <t>Rollen</t>
  </si>
  <si>
    <t>Randstreifen</t>
  </si>
  <si>
    <r>
      <t>für Anlieferung am</t>
    </r>
    <r>
      <rPr>
        <b/>
        <sz val="11"/>
        <color theme="1"/>
        <rFont val="Calibri"/>
        <family val="2"/>
        <scheme val="minor"/>
      </rPr>
      <t xml:space="preserve"> 08.11.2025 um 08:00 Uhr</t>
    </r>
    <r>
      <rPr>
        <sz val="11"/>
        <color theme="1"/>
        <rFont val="Calibri"/>
        <family val="2"/>
        <scheme val="minor"/>
      </rPr>
      <t xml:space="preserve"> folgende Materialien:</t>
    </r>
  </si>
  <si>
    <t>Bitte bestätigen Sie die Bestellung schriftlich.</t>
  </si>
  <si>
    <t>Sackware:</t>
  </si>
  <si>
    <t>Zementestrich + Beschleuniger</t>
  </si>
  <si>
    <t>Bien Zenker</t>
  </si>
  <si>
    <t>0175-7972845</t>
  </si>
  <si>
    <t>Gebuhr/ Ambos</t>
  </si>
  <si>
    <t>An der kalten Quelle 1</t>
  </si>
  <si>
    <t>86825 Bad Wörshofen</t>
  </si>
  <si>
    <t>11.03.2026</t>
  </si>
  <si>
    <t>Hr. Köhler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</si>
</sst>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* #,##0.00\ &quot;€&quot;_-;\-* #,##0.00\ &quot;€&quot;_-;_-* &quot;-&quot;??\ &quot;€&quot;_-;_-@_-"/>
    <numFmt numFmtId="164" formatCode="0\ &quot;mm&quot;"/>
    <numFmt numFmtId="165" formatCode="0.00\ &quot;to&quot;"/>
    <numFmt numFmtId="166" formatCode="0.00\ &quot;Sack&quot;"/>
    <numFmt numFmtId="167" formatCode="0.00\ &quot;m²&quot;"/>
    <numFmt numFmtId="168" formatCode="0.0\ &quot;Sack&quot;"/>
    <numFmt numFmtId="169" formatCode="0\ &quot;Sack&quot;"/>
    <numFmt numFmtId="170" formatCode="0\ &quot;m²&quot;"/>
    <numFmt numFmtId="171" formatCode="0\ &quot;Pack&quot;"/>
    <numFmt numFmtId="172" formatCode="0\ &quot;Rollen&quot;"/>
    <numFmt numFmtId="173" formatCode="0\ &quot;Rollen / 100 m²&quot;"/>
    <numFmt numFmtId="174" formatCode="0\ &quot;Sack / 100 m²&quot;"/>
    <numFmt numFmtId="175" formatCode="&quot;max. &quot;\ ##,##0.00\ &quot;€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Continuous" vertical="top"/>
    </xf>
    <xf numFmtId="0" fontId="2" fillId="0" borderId="0" xfId="0" applyFont="1" applyAlignment="1">
      <alignment horizontal="centerContinuous" vertical="top"/>
    </xf>
    <xf numFmtId="0" fontId="0" fillId="2" borderId="1" xfId="0" applyFill="1" applyBorder="1"/>
    <xf numFmtId="0" fontId="0" fillId="2" borderId="0" xfId="0" applyFill="1"/>
    <xf numFmtId="0" fontId="1" fillId="0" borderId="0" xfId="0" applyFont="1"/>
    <xf numFmtId="0" fontId="0" fillId="2" borderId="4" xfId="0" applyFill="1" applyBorder="1"/>
    <xf numFmtId="0" fontId="0" fillId="2" borderId="5" xfId="0" applyFill="1" applyBorder="1"/>
    <xf numFmtId="0" fontId="1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2" xfId="0" applyFill="1" applyBorder="1"/>
    <xf numFmtId="0" fontId="0" fillId="2" borderId="1" xfId="0" applyFill="1" applyBorder="1" applyAlignment="1">
      <alignment horizontal="left"/>
    </xf>
    <xf numFmtId="0" fontId="0" fillId="2" borderId="3" xfId="0" applyFill="1" applyBorder="1"/>
    <xf numFmtId="0" fontId="0" fillId="2" borderId="2" xfId="0" applyFill="1" applyBorder="1" applyAlignment="1">
      <alignment horizontal="left"/>
    </xf>
    <xf numFmtId="0" fontId="0" fillId="2" borderId="11" xfId="0" applyFill="1" applyBorder="1"/>
    <xf numFmtId="0" fontId="0" fillId="2" borderId="12" xfId="0" applyFill="1" applyBorder="1"/>
    <xf numFmtId="0" fontId="0" fillId="2" borderId="7" xfId="0" applyFill="1" applyBorder="1"/>
    <xf numFmtId="164" fontId="0" fillId="2" borderId="1" xfId="0" applyNumberFormat="1" applyFill="1" applyBorder="1"/>
    <xf numFmtId="164" fontId="0" fillId="2" borderId="18" xfId="0" applyNumberFormat="1" applyFill="1" applyBorder="1"/>
    <xf numFmtId="164" fontId="0" fillId="2" borderId="20" xfId="0" applyNumberFormat="1" applyFill="1" applyBorder="1"/>
    <xf numFmtId="164" fontId="0" fillId="2" borderId="15" xfId="0" applyNumberFormat="1" applyFill="1" applyBorder="1"/>
    <xf numFmtId="167" fontId="0" fillId="2" borderId="1" xfId="0" applyNumberFormat="1" applyFill="1" applyBorder="1"/>
    <xf numFmtId="167" fontId="0" fillId="2" borderId="18" xfId="0" applyNumberFormat="1" applyFill="1" applyBorder="1"/>
    <xf numFmtId="167" fontId="0" fillId="2" borderId="20" xfId="0" applyNumberFormat="1" applyFill="1" applyBorder="1"/>
    <xf numFmtId="167" fontId="0" fillId="2" borderId="15" xfId="0" applyNumberFormat="1" applyFill="1" applyBorder="1"/>
    <xf numFmtId="167" fontId="0" fillId="0" borderId="0" xfId="0" applyNumberFormat="1"/>
    <xf numFmtId="167" fontId="0" fillId="2" borderId="4" xfId="0" applyNumberFormat="1" applyFill="1" applyBorder="1"/>
    <xf numFmtId="167" fontId="0" fillId="2" borderId="1" xfId="0" applyNumberFormat="1" applyFill="1" applyBorder="1" applyAlignment="1">
      <alignment horizontal="left"/>
    </xf>
    <xf numFmtId="44" fontId="0" fillId="0" borderId="0" xfId="1" applyFont="1"/>
    <xf numFmtId="0" fontId="0" fillId="0" borderId="0" xfId="0" applyAlignment="1">
      <alignment wrapText="1"/>
    </xf>
    <xf numFmtId="169" fontId="0" fillId="3" borderId="0" xfId="0" applyNumberFormat="1" applyFill="1"/>
    <xf numFmtId="169" fontId="0" fillId="0" borderId="0" xfId="0" applyNumberFormat="1"/>
    <xf numFmtId="44" fontId="0" fillId="0" borderId="0" xfId="0" applyNumberFormat="1"/>
    <xf numFmtId="164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44" fontId="1" fillId="0" borderId="0" xfId="0" applyNumberFormat="1" applyFont="1"/>
    <xf numFmtId="174" fontId="0" fillId="3" borderId="0" xfId="0" applyNumberFormat="1" applyFill="1"/>
    <xf numFmtId="173" fontId="0" fillId="3" borderId="0" xfId="0" applyNumberFormat="1" applyFill="1"/>
    <xf numFmtId="165" fontId="0" fillId="0" borderId="0" xfId="0" applyNumberFormat="1"/>
    <xf numFmtId="175" fontId="0" fillId="0" borderId="0" xfId="0" applyNumberFormat="1"/>
    <xf numFmtId="164" fontId="1" fillId="0" borderId="0" xfId="0" applyNumberFormat="1" applyFont="1"/>
    <xf numFmtId="168" fontId="0" fillId="0" borderId="11" xfId="0" applyNumberFormat="1" applyBorder="1"/>
    <xf numFmtId="0" fontId="0" fillId="2" borderId="2" xfId="0" applyFill="1" applyBorder="1"/>
    <xf numFmtId="0" fontId="0" fillId="0" borderId="3" xfId="0" applyBorder="1"/>
    <xf numFmtId="0" fontId="0" fillId="2" borderId="1" xfId="0" applyFill="1" applyBorder="1"/>
    <xf numFmtId="166" fontId="0" fillId="2" borderId="1" xfId="0" applyNumberFormat="1" applyFill="1" applyBorder="1"/>
    <xf numFmtId="49" fontId="0" fillId="2" borderId="1" xfId="0" applyNumberFormat="1" applyFill="1" applyBorder="1"/>
    <xf numFmtId="0" fontId="0" fillId="2" borderId="11" xfId="0" applyFill="1" applyBorder="1"/>
    <xf numFmtId="0" fontId="0" fillId="2" borderId="3" xfId="0" applyFill="1" applyBorder="1"/>
    <xf numFmtId="164" fontId="0" fillId="2" borderId="2" xfId="0" applyNumberFormat="1" applyFill="1" applyBorder="1"/>
    <xf numFmtId="164" fontId="0" fillId="0" borderId="12" xfId="0" applyNumberFormat="1" applyBorder="1"/>
    <xf numFmtId="0" fontId="0" fillId="2" borderId="13" xfId="0" applyFill="1" applyBorder="1"/>
    <xf numFmtId="0" fontId="0" fillId="2" borderId="16" xfId="0" applyFill="1" applyBorder="1"/>
    <xf numFmtId="0" fontId="0" fillId="2" borderId="17" xfId="0" applyFill="1" applyBorder="1"/>
    <xf numFmtId="164" fontId="0" fillId="2" borderId="13" xfId="0" applyNumberFormat="1" applyFill="1" applyBorder="1"/>
    <xf numFmtId="164" fontId="0" fillId="0" borderId="14" xfId="0" applyNumberFormat="1" applyBorder="1"/>
    <xf numFmtId="0" fontId="0" fillId="0" borderId="11" xfId="0" applyBorder="1"/>
    <xf numFmtId="164" fontId="0" fillId="2" borderId="19" xfId="0" applyNumberFormat="1" applyFill="1" applyBorder="1"/>
    <xf numFmtId="164" fontId="0" fillId="0" borderId="6" xfId="0" applyNumberFormat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164" fontId="0" fillId="2" borderId="21" xfId="0" applyNumberFormat="1" applyFill="1" applyBorder="1"/>
    <xf numFmtId="164" fontId="0" fillId="0" borderId="24" xfId="0" applyNumberFormat="1" applyBorder="1"/>
    <xf numFmtId="0" fontId="0" fillId="2" borderId="2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164" fontId="0" fillId="2" borderId="2" xfId="0" applyNumberFormat="1" applyFill="1" applyBorder="1" applyAlignment="1">
      <alignment horizontal="right"/>
    </xf>
    <xf numFmtId="164" fontId="0" fillId="2" borderId="12" xfId="0" applyNumberFormat="1" applyFill="1" applyBorder="1" applyAlignment="1">
      <alignment horizontal="right"/>
    </xf>
    <xf numFmtId="164" fontId="0" fillId="2" borderId="2" xfId="0" applyNumberFormat="1" applyFill="1" applyBorder="1" applyAlignment="1">
      <alignment horizontal="left"/>
    </xf>
    <xf numFmtId="164" fontId="0" fillId="0" borderId="12" xfId="0" applyNumberFormat="1" applyBorder="1" applyAlignment="1">
      <alignment horizontal="left"/>
    </xf>
    <xf numFmtId="49" fontId="0" fillId="2" borderId="2" xfId="0" applyNumberFormat="1" applyFill="1" applyBorder="1"/>
    <xf numFmtId="165" fontId="0" fillId="2" borderId="1" xfId="0" applyNumberFormat="1" applyFill="1" applyBorder="1"/>
    <xf numFmtId="0" fontId="3" fillId="0" borderId="0" xfId="0" applyFont="1" applyAlignment="1">
      <alignment horizontal="center" vertical="distributed"/>
    </xf>
    <xf numFmtId="0" fontId="3" fillId="0" borderId="25" xfId="0" applyFont="1" applyBorder="1" applyAlignment="1">
      <alignment horizontal="center" vertical="distributed"/>
    </xf>
    <xf numFmtId="167" fontId="0" fillId="2" borderId="1" xfId="0" applyNumberFormat="1" applyFill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0</xdr:row>
      <xdr:rowOff>0</xdr:rowOff>
    </xdr:from>
    <xdr:to>
      <xdr:col>9</xdr:col>
      <xdr:colOff>434340</xdr:colOff>
      <xdr:row>1</xdr:row>
      <xdr:rowOff>0</xdr:rowOff>
    </xdr:to>
    <xdr:sp macro="" textlink="">
      <xdr:nvSpPr>
        <xdr:cNvPr id="2" name="Rectangle 11">
          <a:extLst>
            <a:ext uri="{FF2B5EF4-FFF2-40B4-BE49-F238E27FC236}">
              <a16:creationId xmlns:a16="http://schemas.microsoft.com/office/drawing/2014/main" id="{DEEE8652-6845-4B52-AF7C-FF733AEF1CF1}"/>
            </a:ext>
          </a:extLst>
        </xdr:cNvPr>
        <xdr:cNvSpPr>
          <a:spLocks noChangeArrowheads="1"/>
        </xdr:cNvSpPr>
      </xdr:nvSpPr>
      <xdr:spPr bwMode="auto">
        <a:xfrm>
          <a:off x="121920" y="0"/>
          <a:ext cx="6065520" cy="182880"/>
        </a:xfrm>
        <a:prstGeom prst="rect">
          <a:avLst/>
        </a:prstGeom>
        <a:gradFill rotWithShape="1">
          <a:gsLst>
            <a:gs pos="0">
              <a:srgbClr val="FFFFFF"/>
            </a:gs>
            <a:gs pos="100000">
              <a:srgbClr val="FFC000"/>
            </a:gs>
          </a:gsLst>
          <a:lin ang="0" scaled="1"/>
        </a:gradFill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de-DE"/>
        </a:p>
      </xdr:txBody>
    </xdr:sp>
    <xdr:clientData/>
  </xdr:twoCellAnchor>
  <xdr:oneCellAnchor>
    <xdr:from>
      <xdr:col>3</xdr:col>
      <xdr:colOff>230184</xdr:colOff>
      <xdr:row>0</xdr:row>
      <xdr:rowOff>76015</xdr:rowOff>
    </xdr:from>
    <xdr:ext cx="2351413" cy="937629"/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98B7FAB0-1CA2-4D66-B5AB-EA97223BC52A}"/>
            </a:ext>
          </a:extLst>
        </xdr:cNvPr>
        <xdr:cNvSpPr/>
      </xdr:nvSpPr>
      <xdr:spPr>
        <a:xfrm>
          <a:off x="2127564" y="76015"/>
          <a:ext cx="2351413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de-DE" sz="5400" b="1" cap="none" spc="0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</a:rPr>
            <a:t>Auftrag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40%20-%20Bestellungen/Vorlage%20Bestellungen.xlsx" TargetMode="External"/><Relationship Id="rId2" Type="http://schemas.openxmlformats.org/officeDocument/2006/relationships/externalLinkPath" Target="https://estrichwerke-my.sharepoint.com/personal/alexander_schlenvoigt_estrichwerke_onmicrosoft_com/Documents/01%20-%20Estrich%20Werke%20S&#252;ddeutschland/Gesch&#228;ftsbetrieb/40%20-%20Bestellungen/Vorlage%20Bestellungen.xlsx" TargetMode="External"/><Relationship Id="rId1" Type="http://schemas.openxmlformats.org/officeDocument/2006/relationships/externalLinkPath" Target="/personal/alexander_schlenvoigt_estrichwerke_onmicrosoft_com/Documents/01%20-%20Estrich%20Werke%20S&#252;ddeutschland/Gesch&#228;ftsbetrieb/40%20-%20Bestellungen/Vorlage%20Bestellung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estellung"/>
      <sheetName val="Preise Lieferanten"/>
    </sheetNames>
    <sheetDataSet>
      <sheetData sheetId="0"/>
      <sheetData sheetId="1">
        <row r="4">
          <cell r="E4">
            <v>48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8"/>
  <sheetViews>
    <sheetView tabSelected="1" view="pageLayout" topLeftCell="A2" zoomScaleNormal="100" workbookViewId="0">
      <selection activeCell="B6" sqref="B6:D6"/>
    </sheetView>
  </sheetViews>
  <sheetFormatPr baseColWidth="10" defaultColWidth="8.85546875" defaultRowHeight="15" x14ac:dyDescent="0.25"/>
  <cols>
    <col min="1" max="1" width="8.85546875" customWidth="1"/>
    <col min="2" max="2" width="9.42578125" bestFit="1" customWidth="1"/>
    <col min="7" max="7" width="8.85546875" customWidth="1"/>
    <col min="10" max="10" width="6.5703125" customWidth="1"/>
  </cols>
  <sheetData>
    <row r="2" spans="1:10" ht="21" x14ac:dyDescent="0.25">
      <c r="D2" s="2"/>
      <c r="E2" s="1"/>
      <c r="F2" s="1"/>
      <c r="G2" s="1"/>
    </row>
    <row r="6" spans="1:10" x14ac:dyDescent="0.25">
      <c r="A6" s="3" t="s">
        <v>0</v>
      </c>
      <c r="B6" s="50" t="s">
        <v>98</v>
      </c>
      <c r="C6" s="50"/>
      <c r="D6" s="50"/>
      <c r="E6" s="4"/>
      <c r="F6" s="46" t="s">
        <v>4</v>
      </c>
      <c r="G6" s="47"/>
      <c r="H6" s="50" t="s">
        <v>25</v>
      </c>
      <c r="I6" s="50"/>
      <c r="J6" s="50"/>
    </row>
    <row r="7" spans="1:10" x14ac:dyDescent="0.25">
      <c r="A7" s="3" t="s">
        <v>1</v>
      </c>
      <c r="B7" s="50" t="s">
        <v>104</v>
      </c>
      <c r="C7" s="50"/>
      <c r="D7" s="50"/>
      <c r="E7" s="4"/>
      <c r="F7" s="46" t="s">
        <v>7</v>
      </c>
      <c r="G7" s="47"/>
      <c r="H7" s="79">
        <v>146.69</v>
      </c>
      <c r="I7" s="79"/>
      <c r="J7" s="79"/>
    </row>
    <row r="8" spans="1:10" x14ac:dyDescent="0.25">
      <c r="A8" s="3" t="s">
        <v>3</v>
      </c>
      <c r="B8" s="50" t="s">
        <v>100</v>
      </c>
      <c r="C8" s="50"/>
      <c r="D8" s="50"/>
      <c r="E8" s="4"/>
      <c r="F8" s="46" t="s">
        <v>5</v>
      </c>
      <c r="G8" s="47"/>
      <c r="H8" s="50" t="s">
        <v>101</v>
      </c>
      <c r="I8" s="50"/>
      <c r="J8" s="50"/>
    </row>
    <row r="9" spans="1:10" x14ac:dyDescent="0.25">
      <c r="A9" s="3"/>
      <c r="B9" s="75"/>
      <c r="C9" s="60"/>
      <c r="D9" s="47"/>
      <c r="E9" s="4"/>
      <c r="F9" s="46"/>
      <c r="G9" s="47"/>
      <c r="H9" s="75" t="s">
        <v>102</v>
      </c>
      <c r="I9" s="60"/>
      <c r="J9" s="47"/>
    </row>
    <row r="10" spans="1:10" x14ac:dyDescent="0.25">
      <c r="A10" s="3" t="s">
        <v>2</v>
      </c>
      <c r="B10" s="50" t="s">
        <v>99</v>
      </c>
      <c r="C10" s="50"/>
      <c r="D10" s="50"/>
      <c r="E10" s="4"/>
      <c r="F10" s="46" t="s">
        <v>6</v>
      </c>
      <c r="G10" s="47"/>
      <c r="H10" s="50" t="s">
        <v>103</v>
      </c>
      <c r="I10" s="50"/>
      <c r="J10" s="50"/>
    </row>
    <row r="11" spans="1:10" x14ac:dyDescent="0.25">
      <c r="C11" s="77" t="s">
        <v>24</v>
      </c>
      <c r="D11" s="77"/>
      <c r="E11" s="77"/>
      <c r="F11" s="77"/>
      <c r="G11" s="77"/>
      <c r="H11" s="77"/>
    </row>
    <row r="12" spans="1:10" x14ac:dyDescent="0.25">
      <c r="A12" s="5" t="s">
        <v>8</v>
      </c>
      <c r="C12" s="78"/>
      <c r="D12" s="78"/>
      <c r="E12" s="78"/>
      <c r="F12" s="78"/>
      <c r="G12" s="78"/>
      <c r="H12" s="78"/>
    </row>
    <row r="13" spans="1:10" x14ac:dyDescent="0.25">
      <c r="A13" s="46" t="s">
        <v>9</v>
      </c>
      <c r="B13" s="47"/>
      <c r="C13" s="48"/>
      <c r="D13" s="48"/>
      <c r="E13" s="48"/>
      <c r="F13" s="48"/>
      <c r="G13" s="48"/>
      <c r="H13" s="3" t="s">
        <v>11</v>
      </c>
      <c r="I13" s="76"/>
      <c r="J13" s="76"/>
    </row>
    <row r="14" spans="1:10" x14ac:dyDescent="0.25">
      <c r="A14" s="3" t="s">
        <v>10</v>
      </c>
      <c r="B14" s="3"/>
      <c r="C14" s="50"/>
      <c r="D14" s="50"/>
      <c r="E14" s="50"/>
      <c r="F14" s="50"/>
      <c r="G14" s="50"/>
      <c r="H14" s="3" t="s">
        <v>12</v>
      </c>
      <c r="I14" s="50"/>
      <c r="J14" s="50"/>
    </row>
    <row r="15" spans="1:10" x14ac:dyDescent="0.25">
      <c r="A15" s="5" t="s">
        <v>23</v>
      </c>
      <c r="I15" s="45"/>
      <c r="J15" s="45"/>
    </row>
    <row r="16" spans="1:10" x14ac:dyDescent="0.25">
      <c r="A16" s="46" t="s">
        <v>9</v>
      </c>
      <c r="B16" s="47"/>
      <c r="C16" s="48"/>
      <c r="D16" s="48"/>
      <c r="E16" s="48"/>
      <c r="F16" s="48"/>
      <c r="G16" s="48"/>
      <c r="H16" s="3" t="s">
        <v>96</v>
      </c>
      <c r="I16" s="49"/>
      <c r="J16" s="49"/>
    </row>
    <row r="17" spans="1:10" x14ac:dyDescent="0.25">
      <c r="A17" s="3" t="s">
        <v>10</v>
      </c>
      <c r="B17" s="3"/>
      <c r="C17" s="50"/>
      <c r="D17" s="50"/>
      <c r="E17" s="50"/>
      <c r="F17" s="50"/>
      <c r="G17" s="50"/>
      <c r="H17" s="3" t="s">
        <v>12</v>
      </c>
      <c r="I17" s="50"/>
      <c r="J17" s="50"/>
    </row>
    <row r="18" spans="1:10" ht="15.75" thickBot="1" x14ac:dyDescent="0.3"/>
    <row r="19" spans="1:10" x14ac:dyDescent="0.25">
      <c r="A19" s="8" t="s">
        <v>13</v>
      </c>
      <c r="B19" s="6" t="s">
        <v>14</v>
      </c>
      <c r="C19" s="6"/>
      <c r="D19" s="6"/>
      <c r="E19" s="6"/>
      <c r="F19" s="6"/>
      <c r="G19" s="6"/>
      <c r="H19" s="6"/>
      <c r="I19" s="6"/>
      <c r="J19" s="7"/>
    </row>
    <row r="20" spans="1:10" x14ac:dyDescent="0.25">
      <c r="A20" s="9"/>
      <c r="B20" s="13" t="s">
        <v>19</v>
      </c>
      <c r="C20" s="13" t="s">
        <v>22</v>
      </c>
      <c r="D20" s="15" t="s">
        <v>20</v>
      </c>
      <c r="E20" s="16"/>
      <c r="F20" s="16"/>
      <c r="G20" s="16"/>
      <c r="H20" s="14"/>
      <c r="I20" s="12" t="s">
        <v>21</v>
      </c>
      <c r="J20" s="17"/>
    </row>
    <row r="21" spans="1:10" x14ac:dyDescent="0.25">
      <c r="A21" s="10" t="s">
        <v>15</v>
      </c>
      <c r="B21" s="23"/>
      <c r="C21" s="19"/>
      <c r="D21" s="46"/>
      <c r="E21" s="60"/>
      <c r="F21" s="60"/>
      <c r="G21" s="60"/>
      <c r="H21" s="47"/>
      <c r="I21" s="53"/>
      <c r="J21" s="54"/>
    </row>
    <row r="22" spans="1:10" x14ac:dyDescent="0.25">
      <c r="A22" s="9"/>
      <c r="B22" s="23"/>
      <c r="C22" s="19"/>
      <c r="D22" s="46"/>
      <c r="E22" s="60"/>
      <c r="F22" s="60"/>
      <c r="G22" s="60"/>
      <c r="H22" s="47"/>
      <c r="I22" s="53"/>
      <c r="J22" s="54"/>
    </row>
    <row r="23" spans="1:10" ht="15.75" thickBot="1" x14ac:dyDescent="0.3">
      <c r="A23" s="9"/>
      <c r="B23" s="24"/>
      <c r="C23" s="20"/>
      <c r="D23" s="46"/>
      <c r="E23" s="60"/>
      <c r="F23" s="60"/>
      <c r="G23" s="60"/>
      <c r="H23" s="47"/>
      <c r="I23" s="61"/>
      <c r="J23" s="62"/>
    </row>
    <row r="24" spans="1:10" x14ac:dyDescent="0.25">
      <c r="A24" s="18" t="s">
        <v>16</v>
      </c>
      <c r="B24" s="25"/>
      <c r="C24" s="21"/>
      <c r="D24" s="63"/>
      <c r="E24" s="64"/>
      <c r="F24" s="64"/>
      <c r="G24" s="64"/>
      <c r="H24" s="65"/>
      <c r="I24" s="66"/>
      <c r="J24" s="67"/>
    </row>
    <row r="25" spans="1:10" x14ac:dyDescent="0.25">
      <c r="A25" s="9"/>
      <c r="B25" s="23"/>
      <c r="C25" s="19"/>
      <c r="D25" s="46"/>
      <c r="E25" s="51"/>
      <c r="F25" s="51"/>
      <c r="G25" s="51"/>
      <c r="H25" s="52"/>
      <c r="I25" s="53"/>
      <c r="J25" s="54"/>
    </row>
    <row r="26" spans="1:10" x14ac:dyDescent="0.25">
      <c r="A26" s="9"/>
      <c r="B26" s="23"/>
      <c r="C26" s="19"/>
      <c r="D26" s="46"/>
      <c r="E26" s="51"/>
      <c r="F26" s="51"/>
      <c r="G26" s="51"/>
      <c r="H26" s="52"/>
      <c r="I26" s="53"/>
      <c r="J26" s="54"/>
    </row>
    <row r="27" spans="1:10" ht="15.75" thickBot="1" x14ac:dyDescent="0.3">
      <c r="A27" s="11"/>
      <c r="B27" s="26"/>
      <c r="C27" s="22"/>
      <c r="D27" s="55"/>
      <c r="E27" s="56"/>
      <c r="F27" s="56"/>
      <c r="G27" s="56"/>
      <c r="H27" s="57"/>
      <c r="I27" s="58"/>
      <c r="J27" s="59"/>
    </row>
    <row r="28" spans="1:10" ht="15.75" thickBot="1" x14ac:dyDescent="0.3">
      <c r="B28" s="27"/>
    </row>
    <row r="29" spans="1:10" x14ac:dyDescent="0.25">
      <c r="A29" s="8" t="s">
        <v>17</v>
      </c>
      <c r="B29" s="28"/>
      <c r="C29" s="6"/>
      <c r="D29" s="6"/>
      <c r="E29" s="6"/>
      <c r="F29" s="6"/>
      <c r="G29" s="6"/>
      <c r="H29" s="6"/>
      <c r="I29" s="6"/>
      <c r="J29" s="7"/>
    </row>
    <row r="30" spans="1:10" x14ac:dyDescent="0.25">
      <c r="A30" s="9"/>
      <c r="B30" s="29"/>
      <c r="C30" s="13"/>
      <c r="D30" s="15"/>
      <c r="E30" s="16"/>
      <c r="F30" s="16"/>
      <c r="G30" s="16"/>
      <c r="H30" s="14"/>
      <c r="I30" s="12"/>
      <c r="J30" s="17"/>
    </row>
    <row r="31" spans="1:10" x14ac:dyDescent="0.25">
      <c r="A31" s="10" t="s">
        <v>15</v>
      </c>
      <c r="B31" s="23"/>
      <c r="C31" s="19"/>
      <c r="D31" s="46"/>
      <c r="E31" s="60"/>
      <c r="F31" s="60"/>
      <c r="G31" s="60"/>
      <c r="H31" s="47"/>
      <c r="I31" s="73"/>
      <c r="J31" s="74"/>
    </row>
    <row r="32" spans="1:10" x14ac:dyDescent="0.25">
      <c r="A32" s="9"/>
      <c r="B32" s="23"/>
      <c r="C32" s="19"/>
      <c r="D32" s="46"/>
      <c r="E32" s="60"/>
      <c r="F32" s="60"/>
      <c r="G32" s="60"/>
      <c r="H32" s="47"/>
      <c r="I32" s="53"/>
      <c r="J32" s="54"/>
    </row>
    <row r="33" spans="1:10" ht="15.75" thickBot="1" x14ac:dyDescent="0.3">
      <c r="A33" s="9"/>
      <c r="B33" s="24"/>
      <c r="C33" s="20"/>
      <c r="D33" s="46"/>
      <c r="E33" s="60"/>
      <c r="F33" s="60"/>
      <c r="G33" s="60"/>
      <c r="H33" s="47"/>
      <c r="I33" s="61"/>
      <c r="J33" s="62"/>
    </row>
    <row r="34" spans="1:10" x14ac:dyDescent="0.25">
      <c r="A34" s="18" t="s">
        <v>16</v>
      </c>
      <c r="B34" s="25"/>
      <c r="C34" s="21"/>
      <c r="D34" s="63"/>
      <c r="E34" s="64"/>
      <c r="F34" s="64"/>
      <c r="G34" s="64"/>
      <c r="H34" s="65"/>
      <c r="I34" s="53"/>
      <c r="J34" s="54"/>
    </row>
    <row r="35" spans="1:10" x14ac:dyDescent="0.25">
      <c r="A35" s="9"/>
      <c r="B35" s="23"/>
      <c r="C35" s="19"/>
      <c r="D35" s="46"/>
      <c r="E35" s="51"/>
      <c r="F35" s="51"/>
      <c r="G35" s="51"/>
      <c r="H35" s="52"/>
      <c r="I35" s="53"/>
      <c r="J35" s="54"/>
    </row>
    <row r="36" spans="1:10" x14ac:dyDescent="0.25">
      <c r="A36" s="9"/>
      <c r="B36" s="23"/>
      <c r="C36" s="19"/>
      <c r="D36" s="46"/>
      <c r="E36" s="51"/>
      <c r="F36" s="51"/>
      <c r="G36" s="51"/>
      <c r="H36" s="52"/>
      <c r="I36" s="53"/>
      <c r="J36" s="54"/>
    </row>
    <row r="37" spans="1:10" ht="15.75" thickBot="1" x14ac:dyDescent="0.3">
      <c r="A37" s="11"/>
      <c r="B37" s="26"/>
      <c r="C37" s="22"/>
      <c r="D37" s="55"/>
      <c r="E37" s="56"/>
      <c r="F37" s="56"/>
      <c r="G37" s="56"/>
      <c r="H37" s="57"/>
      <c r="I37" s="58"/>
      <c r="J37" s="59"/>
    </row>
    <row r="38" spans="1:10" ht="15.75" thickBot="1" x14ac:dyDescent="0.3">
      <c r="B38" s="27"/>
    </row>
    <row r="39" spans="1:10" x14ac:dyDescent="0.25">
      <c r="A39" s="8" t="s">
        <v>18</v>
      </c>
      <c r="B39" s="28" t="s">
        <v>14</v>
      </c>
      <c r="C39" s="6"/>
      <c r="D39" s="6"/>
      <c r="E39" s="6"/>
      <c r="F39" s="6"/>
      <c r="G39" s="6"/>
      <c r="H39" s="6"/>
      <c r="I39" s="6"/>
      <c r="J39" s="7"/>
    </row>
    <row r="40" spans="1:10" x14ac:dyDescent="0.25">
      <c r="A40" s="9"/>
      <c r="B40" s="29" t="s">
        <v>19</v>
      </c>
      <c r="C40" s="13" t="s">
        <v>22</v>
      </c>
      <c r="D40" s="15" t="s">
        <v>20</v>
      </c>
      <c r="E40" s="16"/>
      <c r="F40" s="16"/>
      <c r="G40" s="16"/>
      <c r="H40" s="14"/>
      <c r="I40" s="12" t="s">
        <v>21</v>
      </c>
      <c r="J40" s="17"/>
    </row>
    <row r="41" spans="1:10" x14ac:dyDescent="0.25">
      <c r="A41" s="10" t="s">
        <v>15</v>
      </c>
      <c r="B41" s="23"/>
      <c r="C41" s="19"/>
      <c r="D41" s="46"/>
      <c r="E41" s="60"/>
      <c r="F41" s="60"/>
      <c r="G41" s="60"/>
      <c r="H41" s="47"/>
      <c r="I41" s="53"/>
      <c r="J41" s="54"/>
    </row>
    <row r="42" spans="1:10" x14ac:dyDescent="0.25">
      <c r="A42" s="9"/>
      <c r="B42" s="23"/>
      <c r="C42" s="19"/>
      <c r="D42" s="68"/>
      <c r="E42" s="69"/>
      <c r="F42" s="69"/>
      <c r="G42" s="69"/>
      <c r="H42" s="70"/>
      <c r="I42" s="71"/>
      <c r="J42" s="72"/>
    </row>
    <row r="43" spans="1:10" x14ac:dyDescent="0.25">
      <c r="A43" s="9"/>
      <c r="B43" s="23"/>
      <c r="C43" s="19"/>
      <c r="D43" s="46"/>
      <c r="E43" s="60"/>
      <c r="F43" s="60"/>
      <c r="G43" s="60"/>
      <c r="H43" s="47"/>
      <c r="I43" s="53"/>
      <c r="J43" s="54"/>
    </row>
    <row r="44" spans="1:10" ht="15.75" thickBot="1" x14ac:dyDescent="0.3">
      <c r="A44" s="9"/>
      <c r="B44" s="24"/>
      <c r="C44" s="20"/>
      <c r="D44" s="46"/>
      <c r="E44" s="60"/>
      <c r="F44" s="60"/>
      <c r="G44" s="60"/>
      <c r="H44" s="47"/>
      <c r="I44" s="61"/>
      <c r="J44" s="62"/>
    </row>
    <row r="45" spans="1:10" x14ac:dyDescent="0.25">
      <c r="A45" s="18" t="s">
        <v>16</v>
      </c>
      <c r="B45" s="25"/>
      <c r="C45" s="21"/>
      <c r="D45" s="63"/>
      <c r="E45" s="64"/>
      <c r="F45" s="64"/>
      <c r="G45" s="64"/>
      <c r="H45" s="65"/>
      <c r="I45" s="66"/>
      <c r="J45" s="67"/>
    </row>
    <row r="46" spans="1:10" x14ac:dyDescent="0.25">
      <c r="A46" s="9"/>
      <c r="B46" s="23"/>
      <c r="C46" s="19"/>
      <c r="D46" s="46"/>
      <c r="E46" s="51"/>
      <c r="F46" s="51"/>
      <c r="G46" s="51"/>
      <c r="H46" s="52"/>
      <c r="I46" s="53"/>
      <c r="J46" s="54"/>
    </row>
    <row r="47" spans="1:10" x14ac:dyDescent="0.25">
      <c r="A47" s="9"/>
      <c r="B47" s="23"/>
      <c r="C47" s="19"/>
      <c r="D47" s="46"/>
      <c r="E47" s="51"/>
      <c r="F47" s="51"/>
      <c r="G47" s="51"/>
      <c r="H47" s="52"/>
      <c r="I47" s="53"/>
      <c r="J47" s="54"/>
    </row>
    <row r="48" spans="1:10" ht="15.75" thickBot="1" x14ac:dyDescent="0.3">
      <c r="A48" s="11"/>
      <c r="B48" s="26"/>
      <c r="C48" s="22"/>
      <c r="D48" s="55"/>
      <c r="E48" s="56"/>
      <c r="F48" s="56"/>
      <c r="G48" s="56"/>
      <c r="H48" s="57"/>
      <c r="I48" s="58"/>
      <c r="J48" s="59"/>
    </row>
  </sheetData>
  <mergeCells count="71">
    <mergeCell ref="C14:G14"/>
    <mergeCell ref="I13:J13"/>
    <mergeCell ref="I14:J14"/>
    <mergeCell ref="A13:B13"/>
    <mergeCell ref="B6:D6"/>
    <mergeCell ref="B7:D7"/>
    <mergeCell ref="B8:D8"/>
    <mergeCell ref="B10:D10"/>
    <mergeCell ref="B9:D9"/>
    <mergeCell ref="C11:H12"/>
    <mergeCell ref="C13:G13"/>
    <mergeCell ref="H6:J6"/>
    <mergeCell ref="H7:J7"/>
    <mergeCell ref="H8:J8"/>
    <mergeCell ref="H10:J10"/>
    <mergeCell ref="F6:G6"/>
    <mergeCell ref="F7:G7"/>
    <mergeCell ref="F8:G8"/>
    <mergeCell ref="F10:G10"/>
    <mergeCell ref="H9:J9"/>
    <mergeCell ref="F9:G9"/>
    <mergeCell ref="D21:H21"/>
    <mergeCell ref="I21:J21"/>
    <mergeCell ref="I22:J22"/>
    <mergeCell ref="I23:J23"/>
    <mergeCell ref="D22:H22"/>
    <mergeCell ref="D23:H23"/>
    <mergeCell ref="I24:J24"/>
    <mergeCell ref="I25:J25"/>
    <mergeCell ref="I26:J26"/>
    <mergeCell ref="I27:J27"/>
    <mergeCell ref="D24:H24"/>
    <mergeCell ref="D25:H25"/>
    <mergeCell ref="D26:H26"/>
    <mergeCell ref="D27:H27"/>
    <mergeCell ref="D31:H31"/>
    <mergeCell ref="I31:J31"/>
    <mergeCell ref="D32:H32"/>
    <mergeCell ref="I32:J32"/>
    <mergeCell ref="D33:H33"/>
    <mergeCell ref="I33:J33"/>
    <mergeCell ref="D34:H34"/>
    <mergeCell ref="D35:H35"/>
    <mergeCell ref="I34:J34"/>
    <mergeCell ref="D36:H36"/>
    <mergeCell ref="I36:J36"/>
    <mergeCell ref="I35:J35"/>
    <mergeCell ref="D37:H37"/>
    <mergeCell ref="I37:J37"/>
    <mergeCell ref="D41:H41"/>
    <mergeCell ref="I41:J41"/>
    <mergeCell ref="D43:H43"/>
    <mergeCell ref="I43:J43"/>
    <mergeCell ref="D42:H42"/>
    <mergeCell ref="I42:J42"/>
    <mergeCell ref="D47:H47"/>
    <mergeCell ref="I47:J47"/>
    <mergeCell ref="D48:H48"/>
    <mergeCell ref="I48:J48"/>
    <mergeCell ref="D44:H44"/>
    <mergeCell ref="I44:J44"/>
    <mergeCell ref="D45:H45"/>
    <mergeCell ref="I45:J45"/>
    <mergeCell ref="D46:H46"/>
    <mergeCell ref="I46:J46"/>
    <mergeCell ref="I15:J15"/>
    <mergeCell ref="A16:B16"/>
    <mergeCell ref="C16:G16"/>
    <mergeCell ref="I16:J16"/>
    <mergeCell ref="C17:G17"/>
    <mergeCell ref="I17:J17"/>
  </mergeCells>
  <pageMargins left="0.7" right="0.7" top="0.75" bottom="0.75" header="0.3" footer="0.3"/>
  <pageSetup paperSize="9" orientation="portrait" r:id="rId1"/>
  <headerFooter>
    <oddHeader xml:space="preserve">&amp;L&amp;8Estrich Werke Süddeutschland
Adelheidsruh 36
74564 Crailsheim&amp;C&amp;8Tel.: +49 (0) 7951 4728-060
info@estrich-werke.de
www.estrich-werke.de
&amp;11
&amp;R&amp;G       </oddHeader>
    <oddFooter>&amp;L&amp;F&amp;RSeite &amp;P von &amp;N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F97F945-B29A-4C6C-BCC5-08A4FAE951EB}">
          <x14:formula1>
            <xm:f>Leistungen!$B$2:$B$50</xm:f>
          </x14:formula1>
          <xm:sqref>D24:H27 D34:H37 D45:H48</xm:sqref>
        </x14:dataValidation>
        <x14:dataValidation type="list" allowBlank="1" showInputMessage="1" showErrorMessage="1" xr:uid="{8F8C8C34-B100-4534-A4E9-ABED83A77FC8}">
          <x14:formula1>
            <xm:f>Leistungen!$A$2:$A$50</xm:f>
          </x14:formula1>
          <xm:sqref>D21:H23 D31:H33 D41:D44 E41:H41 E43:H44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E20AB-9629-4576-9EA3-49551F98EED1}">
  <dimension ref="A1:N43"/>
  <sheetViews>
    <sheetView topLeftCell="A10" workbookViewId="0">
      <selection activeCell="G42" sqref="G42"/>
    </sheetView>
  </sheetViews>
  <sheetFormatPr baseColWidth="10" defaultRowHeight="15" x14ac:dyDescent="0.25"/>
  <cols>
    <col min="1" max="1" width="19.42578125" bestFit="1" customWidth="1"/>
    <col min="2" max="2" width="34.28515625" bestFit="1" customWidth="1"/>
    <col min="6" max="7" width="17.42578125" customWidth="1"/>
    <col min="8" max="8" width="14.7109375" bestFit="1" customWidth="1"/>
    <col min="9" max="9" width="13.28515625" bestFit="1" customWidth="1"/>
    <col min="10" max="10" width="15.5703125" bestFit="1" customWidth="1"/>
    <col min="11" max="11" width="13.28515625" bestFit="1" customWidth="1"/>
  </cols>
  <sheetData>
    <row r="1" spans="1:14" s="5" customFormat="1" x14ac:dyDescent="0.25">
      <c r="A1" s="5" t="s">
        <v>86</v>
      </c>
      <c r="E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N1" s="5">
        <f>COUNTIF(Auftrag!D21:D101,"Anhydritestrich")</f>
        <v>0</v>
      </c>
    </row>
    <row r="2" spans="1:14" x14ac:dyDescent="0.25">
      <c r="A2" s="32">
        <v>3</v>
      </c>
      <c r="B2" t="s">
        <v>76</v>
      </c>
      <c r="D2" t="s">
        <v>77</v>
      </c>
      <c r="F2" s="33"/>
      <c r="G2" s="33" cm="1">
        <f t="array" ref="G2">(SUMPRODUCT((Auftrag!D21:D27="Anhydritestrich")*VALUE(Auftrag!B21:B27)*VALUE(Auftrag!C21:C27))+SUMPRODUCT((Auftrag!D31:D37="Anhydritestrich")*VALUE(Auftrag!B31:B37)*VALUE(Auftrag!C31:C37))+SUMPRODUCT((Auftrag!D41:D48="Anhydritestrich")*VALUE(Auftrag!B41:B48)*VALUE(Auftrag!C41:C48)))/1000*A2*5</f>
        <v>0</v>
      </c>
      <c r="H2" s="34">
        <f>$G2*'Preise Lieferanten'!D2</f>
        <v>0</v>
      </c>
      <c r="I2" s="34">
        <f>$G2*'Preise Lieferanten'!E2</f>
        <v>0</v>
      </c>
      <c r="J2" s="34">
        <f>$G2*'Preise Lieferanten'!F2</f>
        <v>0</v>
      </c>
      <c r="K2" s="34">
        <f>$G2*'Preise Lieferanten'!G2</f>
        <v>0</v>
      </c>
      <c r="M2" t="s">
        <v>77</v>
      </c>
    </row>
    <row r="3" spans="1:14" x14ac:dyDescent="0.25">
      <c r="A3" s="32">
        <v>2</v>
      </c>
      <c r="B3" t="s">
        <v>78</v>
      </c>
      <c r="D3" t="s">
        <v>77</v>
      </c>
      <c r="F3" s="33"/>
      <c r="G3" s="33" cm="1">
        <f t="array" ref="G3">(SUMPRODUCT(--ISNUMBER(SEARCH("Zementestrich",Auftrag!D21:D27))*Auftrag!B21:B27*Auftrag!C21:C27)+SUMPRODUCT(--ISNUMBER(SEARCH("Zementestrich",Auftrag!D31:D37))*VALUE(Auftrag!B31:B37)*VALUE(Auftrag!C31:C37))+SUMPRODUCT(--ISNUMBER(SEARCH("Zementestrich",Auftrag!D41:D48))*VALUE(Auftrag!B41:B48)*VALUE(Auftrag!C41:C48)))/1000*A3*5+(SUMPRODUCT((Auftrag!D21:D27="gebundene Splittschüttung")*VALUE(Auftrag!B21:B27)*VALUE(Auftrag!C21:C27))+SUMPRODUCT((Auftrag!D31:D37="gebundene Splittschüttung")*VALUE(Auftrag!B31:B37)*VALUE(Auftrag!C31:C37))+SUMPRODUCT((Auftrag!D41:D48="gebundene Splittschüttung")*VALUE(Auftrag!B41:B48)*VALUE(Auftrag!C41:C48)))/1000*1*5</f>
        <v>0</v>
      </c>
      <c r="H3" s="34">
        <f>$G3*'Preise Lieferanten'!D3</f>
        <v>0</v>
      </c>
      <c r="I3" s="34">
        <f>$G3*'Preise Lieferanten'!E3</f>
        <v>0</v>
      </c>
      <c r="J3" s="34">
        <f>$G3*'Preise Lieferanten'!F3</f>
        <v>0</v>
      </c>
      <c r="K3" s="34">
        <f>$G3*'Preise Lieferanten'!G3</f>
        <v>0</v>
      </c>
      <c r="M3" t="s">
        <v>77</v>
      </c>
    </row>
    <row r="5" spans="1:14" x14ac:dyDescent="0.25">
      <c r="B5" t="s">
        <v>45</v>
      </c>
      <c r="C5" s="35">
        <v>80</v>
      </c>
      <c r="D5" t="s">
        <v>19</v>
      </c>
      <c r="E5" s="36">
        <v>3</v>
      </c>
      <c r="F5" s="36">
        <f>SUMIFS(Auftrag!B21:B27,Auftrag!D21:D27,"EPS DEO 035",Auftrag!C21:C27,80)+SUMIFS(Auftrag!B31:B37,Auftrag!D31:D37,"EPS DEO 035",Auftrag!C31:C37,80)+SUMIFS(Auftrag!B41:B48,Auftrag!D41:D48,"EPS DEO 035",Auftrag!C41:C48,80)</f>
        <v>0</v>
      </c>
      <c r="G5" s="37">
        <f t="shared" ref="G5:G22" si="0">ROUNDUP(F5/E5,0)</f>
        <v>0</v>
      </c>
      <c r="H5" s="34">
        <f>$G5*$E5*'Preise Lieferanten'!D$4*Material!$C5/1000</f>
        <v>0</v>
      </c>
      <c r="I5" s="34">
        <f>$G5*$E5*'Preise Lieferanten'!E$4*Material!$C5/1000</f>
        <v>0</v>
      </c>
      <c r="J5" s="34">
        <f>$G5*$E5*'Preise Lieferanten'!F$4*Material!$C5/1000</f>
        <v>0</v>
      </c>
      <c r="K5" s="34">
        <f>$G5*$E5*'Preise Lieferanten'!G$4*Material!$C5/1000</f>
        <v>0</v>
      </c>
      <c r="M5" t="s">
        <v>91</v>
      </c>
    </row>
    <row r="6" spans="1:14" x14ac:dyDescent="0.25">
      <c r="B6" t="s">
        <v>45</v>
      </c>
      <c r="C6" s="35">
        <v>70</v>
      </c>
      <c r="D6" t="s">
        <v>19</v>
      </c>
      <c r="E6" s="36">
        <v>3</v>
      </c>
      <c r="F6" s="36">
        <f>SUMIFS(Auftrag!B24:B27,Auftrag!D24:D27,"EPS DEO 035",Auftrag!C24:C27,70)+SUMIFS(Auftrag!B34:B37,Auftrag!D34:D37,"EPS DEO 035",Auftrag!C34:C37,70)+SUMIFS(Auftrag!B45:B48,Auftrag!D45:D48,"EPS DEO 035",Auftrag!C45:C48,70)</f>
        <v>0</v>
      </c>
      <c r="G6" s="37">
        <f t="shared" si="0"/>
        <v>0</v>
      </c>
      <c r="H6" s="34">
        <f>$G6*$E6*'Preise Lieferanten'!D$4*Material!$C6/1000</f>
        <v>0</v>
      </c>
      <c r="I6" s="34">
        <f>$G6*$E6*'[1]Preise Lieferanten'!E$4*Material!$C6/1000</f>
        <v>0</v>
      </c>
      <c r="J6" s="34">
        <f>$G6*$E6*'Preise Lieferanten'!F$4*Material!$C6/1000</f>
        <v>0</v>
      </c>
      <c r="K6" s="34">
        <f>$G6*$E6*'Preise Lieferanten'!G$4*Material!$C6/1000</f>
        <v>0</v>
      </c>
      <c r="M6" t="s">
        <v>91</v>
      </c>
    </row>
    <row r="7" spans="1:14" x14ac:dyDescent="0.25">
      <c r="B7" t="s">
        <v>45</v>
      </c>
      <c r="C7" s="35">
        <v>60</v>
      </c>
      <c r="D7" t="s">
        <v>19</v>
      </c>
      <c r="E7" s="36">
        <v>4</v>
      </c>
      <c r="F7" s="36">
        <f>SUMIFS(Auftrag!B24:B27,Auftrag!D24:D27,"EPS DEO 035",Auftrag!C24:C27,60)+SUMIFS(Auftrag!B34:B37,Auftrag!D34:D37,"EPS DEO 035",Auftrag!C34:C37,60)+SUMIFS(Auftrag!B45:B48,Auftrag!D45:D48,"EPS DEO 035",Auftrag!C45:C48,60)</f>
        <v>0</v>
      </c>
      <c r="G7" s="37">
        <f t="shared" si="0"/>
        <v>0</v>
      </c>
      <c r="H7" s="34">
        <f>$G7*$E7*'Preise Lieferanten'!D$4*Material!$C7/1000</f>
        <v>0</v>
      </c>
      <c r="I7" s="34">
        <f>$G7*$E7*'Preise Lieferanten'!E$4*Material!$C7/1000</f>
        <v>0</v>
      </c>
      <c r="J7" s="34">
        <f>$G7*$E7*'Preise Lieferanten'!F$4*Material!$C7/1000</f>
        <v>0</v>
      </c>
      <c r="K7" s="34">
        <f>$G7*$E7*'Preise Lieferanten'!G$4*Material!$C7/1000</f>
        <v>0</v>
      </c>
      <c r="M7" t="s">
        <v>91</v>
      </c>
    </row>
    <row r="8" spans="1:14" x14ac:dyDescent="0.25">
      <c r="B8" t="s">
        <v>45</v>
      </c>
      <c r="C8" s="35">
        <v>50</v>
      </c>
      <c r="D8" t="s">
        <v>19</v>
      </c>
      <c r="E8" s="36">
        <v>4.5</v>
      </c>
      <c r="F8" s="36">
        <f>SUMIFS(Auftrag!B24:B27,Auftrag!D24:D27,"EPS DEO 035",Auftrag!C24:C27,50)+SUMIFS(Auftrag!B34:B37,Auftrag!D34:D37,"EPS DEO 035",Auftrag!C34:C37,50)+SUMIFS(Auftrag!B45:B48,Auftrag!D45:D48,"EPS DEO 035",Auftrag!C45:C48,50)</f>
        <v>0</v>
      </c>
      <c r="G8" s="37">
        <f t="shared" si="0"/>
        <v>0</v>
      </c>
      <c r="H8" s="34">
        <f>$G8*$E8*'Preise Lieferanten'!D$4*Material!$C8/1000</f>
        <v>0</v>
      </c>
      <c r="I8" s="34">
        <f>$G8*$E8*'Preise Lieferanten'!E$4*Material!$C8/1000</f>
        <v>0</v>
      </c>
      <c r="J8" s="34">
        <f>$G8*$E8*'Preise Lieferanten'!F$4*Material!$C8/1000</f>
        <v>0</v>
      </c>
      <c r="K8" s="34">
        <f>$G8*$E8*'Preise Lieferanten'!G$4*Material!$C8/1000</f>
        <v>0</v>
      </c>
      <c r="M8" t="s">
        <v>91</v>
      </c>
    </row>
    <row r="9" spans="1:14" x14ac:dyDescent="0.25">
      <c r="B9" t="s">
        <v>45</v>
      </c>
      <c r="C9" s="35">
        <v>40</v>
      </c>
      <c r="D9" t="s">
        <v>19</v>
      </c>
      <c r="E9" s="36">
        <v>6</v>
      </c>
      <c r="F9" s="36">
        <f>SUMIFS(Auftrag!B24:B27,Auftrag!D24:D27,"EPS DEO 035",Auftrag!C24:C27,40)+SUMIFS(Auftrag!B34:B37,Auftrag!D34:D37,"EPS DEO 035",Auftrag!C34:C37,40)+SUMIFS(Auftrag!B45:B48,Auftrag!D45:D48,"EPS DEO 035",Auftrag!C45:C48,40)</f>
        <v>0</v>
      </c>
      <c r="G9" s="37">
        <f t="shared" si="0"/>
        <v>0</v>
      </c>
      <c r="H9" s="34">
        <f>$G9*$E9*'Preise Lieferanten'!D$4*Material!$C9/1000</f>
        <v>0</v>
      </c>
      <c r="I9" s="34">
        <f>$G9*$E9*'Preise Lieferanten'!E$4*Material!$C9/1000</f>
        <v>0</v>
      </c>
      <c r="J9" s="34">
        <f>$G9*$E9*'Preise Lieferanten'!F$4*Material!$C9/1000</f>
        <v>0</v>
      </c>
      <c r="K9" s="34">
        <f>$G9*$E9*'Preise Lieferanten'!G$4*Material!$C9/1000</f>
        <v>0</v>
      </c>
      <c r="M9" t="s">
        <v>91</v>
      </c>
    </row>
    <row r="10" spans="1:14" x14ac:dyDescent="0.25">
      <c r="B10" t="s">
        <v>45</v>
      </c>
      <c r="C10" s="35">
        <v>30</v>
      </c>
      <c r="D10" t="s">
        <v>19</v>
      </c>
      <c r="E10" s="36">
        <v>8</v>
      </c>
      <c r="F10" s="36">
        <f>SUMIFS(Auftrag!B24:B27,Auftrag!D24:D27,"EPS DEO 035",Auftrag!C24:C27,30)+SUMIFS(Auftrag!B34:B37,Auftrag!D34:D37,"EPS DEO 035",Auftrag!C34:C37,30)+SUMIFS(Auftrag!B45:B48,Auftrag!D45:D48,"EPS DEO 035",Auftrag!C45:C48,30)</f>
        <v>0</v>
      </c>
      <c r="G10" s="37">
        <f t="shared" si="0"/>
        <v>0</v>
      </c>
      <c r="H10" s="34">
        <f>$G10*$E10*'Preise Lieferanten'!D$4*Material!$C10/1000</f>
        <v>0</v>
      </c>
      <c r="I10" s="34">
        <f>$G10*$E10*'Preise Lieferanten'!E$4*Material!$C10/1000</f>
        <v>0</v>
      </c>
      <c r="J10" s="34">
        <f>$G10*$E10*'Preise Lieferanten'!F$4*Material!$C10/1000</f>
        <v>0</v>
      </c>
      <c r="K10" s="34">
        <f>$G10*$E10*'Preise Lieferanten'!G$4*Material!$C10/1000</f>
        <v>0</v>
      </c>
      <c r="M10" t="s">
        <v>91</v>
      </c>
    </row>
    <row r="11" spans="1:14" x14ac:dyDescent="0.25">
      <c r="B11" t="s">
        <v>45</v>
      </c>
      <c r="C11" s="35">
        <v>20</v>
      </c>
      <c r="D11" t="s">
        <v>19</v>
      </c>
      <c r="E11" s="36">
        <v>12</v>
      </c>
      <c r="F11" s="36">
        <f>SUMIFS(Auftrag!B24:B27,Auftrag!D24:D27,"EPS DEO 035",Auftrag!C24:C27,20)+SUMIFS(Auftrag!B34:B37,Auftrag!D34:D37,"EPS DEO 035",Auftrag!C34:C37,20)+SUMIFS(Auftrag!B45:B48,Auftrag!D45:D48,"EPS DEO 035",Auftrag!C45:C48,20)</f>
        <v>0</v>
      </c>
      <c r="G11" s="37">
        <f t="shared" si="0"/>
        <v>0</v>
      </c>
      <c r="H11" s="34">
        <f>$G11*$E11*'Preise Lieferanten'!D$4*Material!$C11/1000</f>
        <v>0</v>
      </c>
      <c r="I11" s="34">
        <f>$G11*$E11*'Preise Lieferanten'!E$4*Material!$C11/1000</f>
        <v>0</v>
      </c>
      <c r="J11" s="34">
        <f>$G11*$E11*'Preise Lieferanten'!F$4*Material!$C11/1000</f>
        <v>0</v>
      </c>
      <c r="K11" s="34">
        <f>$G11*$E11*'Preise Lieferanten'!G$4*Material!$C11/1000</f>
        <v>0</v>
      </c>
      <c r="M11" t="s">
        <v>91</v>
      </c>
    </row>
    <row r="12" spans="1:14" x14ac:dyDescent="0.25">
      <c r="B12" t="s">
        <v>45</v>
      </c>
      <c r="C12" s="35">
        <v>10</v>
      </c>
      <c r="D12" t="s">
        <v>19</v>
      </c>
      <c r="E12" s="36">
        <v>24</v>
      </c>
      <c r="F12" s="36">
        <f>SUMIFS(Auftrag!B24:B27,Auftrag!D24:D27,"EPS DEO 035",Auftrag!C24:C27,10)+SUMIFS(Auftrag!B34:B37,Auftrag!D34:D37,"EPS DEO 035",Auftrag!C34:C37,10)+SUMIFS(Auftrag!B45:B48,Auftrag!D45:D48,"EPS DEO 035",Auftrag!C45:C48,10)</f>
        <v>0</v>
      </c>
      <c r="G12" s="37">
        <f t="shared" si="0"/>
        <v>0</v>
      </c>
      <c r="H12" s="34">
        <f>$G12*$E12*'Preise Lieferanten'!D$4*Material!$C12/1000</f>
        <v>0</v>
      </c>
      <c r="I12" s="34">
        <f>$G12*$E12*'Preise Lieferanten'!E$4*Material!$C12/1000</f>
        <v>0</v>
      </c>
      <c r="J12" s="34">
        <f>$G12*$E12*'Preise Lieferanten'!F$4*Material!$C12/1000</f>
        <v>0</v>
      </c>
      <c r="K12" s="34">
        <f>$G12*$E12*'Preise Lieferanten'!G$4*Material!$C12/1000</f>
        <v>0</v>
      </c>
      <c r="M12" t="s">
        <v>91</v>
      </c>
    </row>
    <row r="13" spans="1:14" x14ac:dyDescent="0.25">
      <c r="E13" s="36"/>
      <c r="F13" s="36"/>
      <c r="G13" s="36"/>
      <c r="H13" s="34"/>
      <c r="I13" s="34"/>
      <c r="J13" s="34"/>
      <c r="K13" s="34"/>
    </row>
    <row r="14" spans="1:14" x14ac:dyDescent="0.25">
      <c r="B14" t="s">
        <v>30</v>
      </c>
      <c r="C14" s="35">
        <v>40</v>
      </c>
      <c r="D14" t="s">
        <v>19</v>
      </c>
      <c r="E14" s="36">
        <v>6</v>
      </c>
      <c r="F14" s="36">
        <f>SUMIFS(Auftrag!B24:B27,Auftrag!D24:D27,"Trittschall",Auftrag!C24:C27,40)+SUMIFS(Auftrag!B34:B37,Auftrag!D34:D37,"Trittschall",Auftrag!C34:C37,40)+SUMIFS(Auftrag!B45:B48,Auftrag!D45:D48,"Trittschall",Auftrag!C45:C48,40)</f>
        <v>0</v>
      </c>
      <c r="G14" s="37">
        <f t="shared" si="0"/>
        <v>0</v>
      </c>
      <c r="H14" s="34">
        <f>$G14*$E14*'Preise Lieferanten'!D$4*Material!$C14/1000</f>
        <v>0</v>
      </c>
      <c r="I14" s="34">
        <f>$G14*$E14*'Preise Lieferanten'!E$4*Material!$C14/1000</f>
        <v>0</v>
      </c>
      <c r="J14" s="34">
        <f>$G14*$E14*'Preise Lieferanten'!F$4*Material!$C14/1000</f>
        <v>0</v>
      </c>
      <c r="K14" s="34">
        <f>$G14*$E14*'Preise Lieferanten'!G$4*Material!$C14/1000</f>
        <v>0</v>
      </c>
      <c r="M14" t="s">
        <v>91</v>
      </c>
    </row>
    <row r="15" spans="1:14" x14ac:dyDescent="0.25">
      <c r="B15" t="s">
        <v>30</v>
      </c>
      <c r="C15" s="35">
        <v>30</v>
      </c>
      <c r="D15" t="s">
        <v>19</v>
      </c>
      <c r="E15" s="36">
        <v>8</v>
      </c>
      <c r="F15" s="36">
        <f>SUMIFS(Auftrag!B24:B27,Auftrag!D24:D27,"Trittschall",Auftrag!C24:C27,30)+SUMIFS(Auftrag!B34:B37,Auftrag!D34:D37,"Trittschall",Auftrag!C34:C37,30)+SUMIFS(Auftrag!B45:B48,Auftrag!D45:D48,"Trittschall",Auftrag!C45:C48,30)</f>
        <v>0</v>
      </c>
      <c r="G15" s="37">
        <f t="shared" si="0"/>
        <v>0</v>
      </c>
      <c r="H15" s="34">
        <f>$G15*$E15*'Preise Lieferanten'!D$4*Material!$C15/1000</f>
        <v>0</v>
      </c>
      <c r="I15" s="34">
        <f>$G15*$E15*'Preise Lieferanten'!E$4*Material!$C15/1000</f>
        <v>0</v>
      </c>
      <c r="J15" s="34">
        <f>$G15*$E15*'Preise Lieferanten'!F$4*Material!$C15/1000</f>
        <v>0</v>
      </c>
      <c r="K15" s="34">
        <f>$G15*$E15*'Preise Lieferanten'!G$4*Material!$C15/1000</f>
        <v>0</v>
      </c>
      <c r="M15" t="s">
        <v>91</v>
      </c>
    </row>
    <row r="16" spans="1:14" x14ac:dyDescent="0.25">
      <c r="B16" t="s">
        <v>30</v>
      </c>
      <c r="C16" s="35">
        <v>25</v>
      </c>
      <c r="D16" t="s">
        <v>19</v>
      </c>
      <c r="E16" s="36">
        <v>9.5</v>
      </c>
      <c r="F16" s="36">
        <f>SUMIFS(Auftrag!B24:B27,Auftrag!D24:D27,"Trittschall",Auftrag!C24:C27,25)+SUMIFS(Auftrag!B34:B37,Auftrag!D34:D37,"Trittschall",Auftrag!C34:C37,25)+SUMIFS(Auftrag!B45:B48,Auftrag!D45:D48,"Trittschall",Auftrag!C45:C48,25)</f>
        <v>0</v>
      </c>
      <c r="G16" s="37">
        <f t="shared" si="0"/>
        <v>0</v>
      </c>
      <c r="H16" s="34">
        <f>$G16*$E16*'Preise Lieferanten'!D$4*Material!$C16/1000</f>
        <v>0</v>
      </c>
      <c r="I16" s="34">
        <f>$G16*$E16*'Preise Lieferanten'!E$4*Material!$C16/1000</f>
        <v>0</v>
      </c>
      <c r="J16" s="34">
        <f>$G16*$E16*'Preise Lieferanten'!F$4*Material!$C16/1000</f>
        <v>0</v>
      </c>
      <c r="K16" s="34">
        <f>$G16*$E16*'Preise Lieferanten'!G$4*Material!$C16/1000</f>
        <v>0</v>
      </c>
      <c r="M16" t="s">
        <v>91</v>
      </c>
    </row>
    <row r="17" spans="1:13" x14ac:dyDescent="0.25">
      <c r="B17" t="s">
        <v>30</v>
      </c>
      <c r="C17" s="35">
        <v>20</v>
      </c>
      <c r="D17" t="s">
        <v>19</v>
      </c>
      <c r="E17" s="36">
        <v>12</v>
      </c>
      <c r="F17" s="36">
        <f>SUMIFS(Auftrag!B24:B27,Auftrag!D24:D27,"Trittschall",Auftrag!C24:C27,20)+SUMIFS(Auftrag!B34:B37,Auftrag!D34:D37,"Trittschall",Auftrag!C34:C37,20)+SUMIFS(Auftrag!B45:B48,Auftrag!D45:D48,"Trittschall",Auftrag!C45:C48,20)</f>
        <v>0</v>
      </c>
      <c r="G17" s="37">
        <f t="shared" si="0"/>
        <v>0</v>
      </c>
      <c r="H17" s="34">
        <f>$G17*$E17*'Preise Lieferanten'!D$4*Material!$C17/1000</f>
        <v>0</v>
      </c>
      <c r="I17" s="34">
        <f>$G17*$E17*'Preise Lieferanten'!E$4*Material!$C17/1000</f>
        <v>0</v>
      </c>
      <c r="J17" s="34">
        <f>$G17*$E17*'Preise Lieferanten'!F$4*Material!$C17/1000</f>
        <v>0</v>
      </c>
      <c r="K17" s="34">
        <f>$G17*$E17*'Preise Lieferanten'!G$4*Material!$C17/1000</f>
        <v>0</v>
      </c>
      <c r="M17" t="s">
        <v>91</v>
      </c>
    </row>
    <row r="19" spans="1:13" x14ac:dyDescent="0.25">
      <c r="B19" t="s">
        <v>32</v>
      </c>
      <c r="C19" s="35">
        <v>40</v>
      </c>
      <c r="D19" t="s">
        <v>19</v>
      </c>
      <c r="E19" s="36">
        <v>10</v>
      </c>
      <c r="F19" s="36">
        <f>SUMIFS(Auftrag!B24:B27,Auftrag!D24:D27,"Tackerplatte",Auftrag!C24:C27,40)+SUMIFS(Auftrag!B34:B37,Auftrag!D34:D37,"Tackerplatte",Auftrag!C34:C37,40)+SUMIFS(Auftrag!B45:B48,Auftrag!D45:D48,"Tackerplatte",Auftrag!C45:C48,40)</f>
        <v>0</v>
      </c>
      <c r="G19" s="37">
        <f t="shared" si="0"/>
        <v>0</v>
      </c>
      <c r="M19" t="s">
        <v>91</v>
      </c>
    </row>
    <row r="20" spans="1:13" x14ac:dyDescent="0.25">
      <c r="B20" t="s">
        <v>32</v>
      </c>
      <c r="C20" s="35">
        <v>30</v>
      </c>
      <c r="D20" t="s">
        <v>19</v>
      </c>
      <c r="E20" s="36">
        <v>10</v>
      </c>
      <c r="F20" s="36">
        <f>SUMIFS(Auftrag!B24:B27,Auftrag!D24:D27,"Tackerplatte",Auftrag!C24:C27,30)+SUMIFS(Auftrag!B34:B37,Auftrag!D34:D37,"Tackerplatte",Auftrag!C34:C37,30)+SUMIFS(Auftrag!B45:B48,Auftrag!D45:D48,"Tackerplatte",Auftrag!C45:C48,30)</f>
        <v>0</v>
      </c>
      <c r="G20" s="37">
        <f t="shared" si="0"/>
        <v>0</v>
      </c>
      <c r="M20" t="s">
        <v>91</v>
      </c>
    </row>
    <row r="21" spans="1:13" x14ac:dyDescent="0.25">
      <c r="B21" t="s">
        <v>32</v>
      </c>
      <c r="C21" s="35">
        <v>25</v>
      </c>
      <c r="D21" t="s">
        <v>19</v>
      </c>
      <c r="E21" s="36">
        <v>10</v>
      </c>
      <c r="F21" s="36">
        <f>SUMIFS(Auftrag!B24:B27,Auftrag!D24:D27,"Tackerplatte",Auftrag!C24:C27,25)+SUMIFS(Auftrag!B34:B37,Auftrag!D34:D37,"Tackerplatte",Auftrag!C34:C37,25)+SUMIFS(Auftrag!B45:B48,Auftrag!D45:D48,"Tackerplatte",Auftrag!C45:C48,25)</f>
        <v>0</v>
      </c>
      <c r="G21" s="37">
        <f t="shared" si="0"/>
        <v>0</v>
      </c>
      <c r="M21" t="s">
        <v>91</v>
      </c>
    </row>
    <row r="22" spans="1:13" x14ac:dyDescent="0.25">
      <c r="B22" t="s">
        <v>32</v>
      </c>
      <c r="C22" s="35">
        <v>20</v>
      </c>
      <c r="D22" t="s">
        <v>19</v>
      </c>
      <c r="E22" s="36">
        <v>10</v>
      </c>
      <c r="F22" s="36">
        <f>SUMIFS(Auftrag!B24:B27,Auftrag!D24:D27,"Tackerplatte",Auftrag!C24:C27,20)+SUMIFS(Auftrag!B34:B37,Auftrag!D34:D37,"Tackerplatte",Auftrag!C34:C37,20)+SUMIFS(Auftrag!B45:B48,Auftrag!D45:D48,"Tackerplatte",Auftrag!C45:C48,20)</f>
        <v>0</v>
      </c>
      <c r="G22" s="37">
        <f t="shared" si="0"/>
        <v>0</v>
      </c>
      <c r="M22" t="s">
        <v>91</v>
      </c>
    </row>
    <row r="23" spans="1:13" x14ac:dyDescent="0.25">
      <c r="B23" t="s">
        <v>32</v>
      </c>
      <c r="C23" s="35">
        <v>15</v>
      </c>
      <c r="D23" t="s">
        <v>19</v>
      </c>
      <c r="E23" s="36">
        <v>10</v>
      </c>
      <c r="F23" s="36">
        <f>SUMIFS(Auftrag!B24:B27,Auftrag!D24:D27,"Tackerplatte",Auftrag!C24:C27,15)+SUMIFS(Auftrag!B34:B37,Auftrag!D34:D37,"Tackerplatte",Auftrag!C34:C37,15)+SUMIFS(Auftrag!B45:B48,Auftrag!D45:D48,"Tackerplatte",Auftrag!C45:C48,15)</f>
        <v>0</v>
      </c>
      <c r="G23" s="37">
        <f t="shared" ref="G23" si="1">ROUNDUP(F23/E23,0)</f>
        <v>0</v>
      </c>
      <c r="M23" t="s">
        <v>91</v>
      </c>
    </row>
    <row r="24" spans="1:13" x14ac:dyDescent="0.25">
      <c r="C24" s="35"/>
      <c r="E24" s="36"/>
      <c r="F24" s="36"/>
      <c r="G24" s="37"/>
    </row>
    <row r="25" spans="1:13" x14ac:dyDescent="0.25">
      <c r="B25" t="s">
        <v>33</v>
      </c>
      <c r="C25" s="35">
        <v>30</v>
      </c>
      <c r="D25" t="s">
        <v>19</v>
      </c>
      <c r="E25" s="36">
        <v>10</v>
      </c>
      <c r="F25" s="36">
        <f>SUMIFS(Auftrag!B24:B27,Auftrag!D24:D27,"Trittschalldämmung aus Mineralfaser",Auftrag!C24:C27,30)+SUMIFS(Auftrag!B34:B37,Auftrag!D34:D37,"Trittschalldämmung aus Mineralfaser",Auftrag!C34:C37,30)+SUMIFS(Auftrag!B45:B48,Auftrag!D45:D48,"Trittschalldämmung aus Mineralfaser",Auftrag!C45:C48,30)</f>
        <v>0</v>
      </c>
      <c r="G25" s="37">
        <f t="shared" ref="G25:G27" si="2">ROUNDUP(F25/E25,0)</f>
        <v>0</v>
      </c>
      <c r="M25" t="s">
        <v>91</v>
      </c>
    </row>
    <row r="26" spans="1:13" x14ac:dyDescent="0.25">
      <c r="B26" t="s">
        <v>33</v>
      </c>
      <c r="C26" s="35">
        <v>25</v>
      </c>
      <c r="D26" t="s">
        <v>19</v>
      </c>
      <c r="E26" s="36">
        <v>10</v>
      </c>
      <c r="F26" s="36">
        <f>SUMIFS(Auftrag!B24:B27,Auftrag!D24:D27,"Trittschalldämmung aus Mineralfaser",Auftrag!C24:C27,25)+SUMIFS(Auftrag!B34:B37,Auftrag!D34:D37,"Trittschalldämmung aus Mineralfaser",Auftrag!C34:C37,25)+SUMIFS(Auftrag!B45:B48,Auftrag!D45:D48,"Trittschalldämmung aus Mineralfaser",Auftrag!C45:C48,25)</f>
        <v>0</v>
      </c>
      <c r="G26" s="37">
        <f t="shared" si="2"/>
        <v>0</v>
      </c>
      <c r="M26" t="s">
        <v>91</v>
      </c>
    </row>
    <row r="27" spans="1:13" x14ac:dyDescent="0.25">
      <c r="B27" t="s">
        <v>33</v>
      </c>
      <c r="C27" s="35">
        <v>20</v>
      </c>
      <c r="D27" t="s">
        <v>19</v>
      </c>
      <c r="E27" s="36">
        <v>10</v>
      </c>
      <c r="F27" s="36">
        <f>SUMIFS(Auftrag!B24:B27,Auftrag!D24:D27,"Trittschalldämmung aus Mineralfaser",Auftrag!C24:C27,20)+SUMIFS(Auftrag!B34:B37,Auftrag!D34:D37,"Trittschalldämmung aus Mineralfaser",Auftrag!C34:C37,20)+SUMIFS(Auftrag!B45:B48,Auftrag!D45:D48,"Trittschalldämmung aus Mineralfaser",Auftrag!C45:C48,20)</f>
        <v>0</v>
      </c>
      <c r="G27" s="37">
        <f t="shared" si="2"/>
        <v>0</v>
      </c>
      <c r="M27" t="s">
        <v>91</v>
      </c>
    </row>
    <row r="28" spans="1:13" x14ac:dyDescent="0.25">
      <c r="C28" s="35"/>
      <c r="E28" s="36"/>
      <c r="F28" s="36"/>
      <c r="G28" s="37"/>
    </row>
    <row r="30" spans="1:13" x14ac:dyDescent="0.25">
      <c r="A30" s="40">
        <v>2</v>
      </c>
      <c r="B30" t="s">
        <v>51</v>
      </c>
      <c r="D30" t="s">
        <v>79</v>
      </c>
      <c r="F30" s="33"/>
      <c r="G30" s="33">
        <f>(SUMIFS(Auftrag!B24:B27,Auftrag!D24:D27,"Randstreifen + PE-Folie + Perlit")+SUMIFS(Auftrag!B34:B37,Auftrag!D34:D37,"Randstreifen + PE-Folie + Perlit")+SUMIFS(Auftrag!B45:B48,Auftrag!D45:D48,"Randstreifen + PE-Folie + Perlit"))/100*A30</f>
        <v>0</v>
      </c>
      <c r="H30" s="34">
        <f>$G30*'Preise Lieferanten'!D7</f>
        <v>0</v>
      </c>
      <c r="I30" s="34">
        <f>$G30*'Preise Lieferanten'!E7</f>
        <v>0</v>
      </c>
      <c r="J30" s="34">
        <f>$G30*'Preise Lieferanten'!F7</f>
        <v>0</v>
      </c>
      <c r="K30" s="34">
        <f>$G30*'Preise Lieferanten'!G7</f>
        <v>0</v>
      </c>
      <c r="M30" t="s">
        <v>77</v>
      </c>
    </row>
    <row r="31" spans="1:13" x14ac:dyDescent="0.25">
      <c r="A31" s="41">
        <v>2</v>
      </c>
      <c r="B31" t="s">
        <v>93</v>
      </c>
      <c r="D31" t="s">
        <v>80</v>
      </c>
      <c r="F31" s="38"/>
      <c r="G31" s="38">
        <f>(SUMIFS(Auftrag!B24:B27,Auftrag!D24:D27,"Randstreifen + PE-Folie + Perlit")+SUMIFS(Auftrag!B34:B37,Auftrag!D34:D37,"Randstreifen + PE-Folie + Perlit")+SUMIFS(Auftrag!B45:B48,Auftrag!D45:D48,"Randstreifen + PE-Folie + Perlit"))/100*A31</f>
        <v>0</v>
      </c>
      <c r="H31" s="34">
        <f>$G31*'Preise Lieferanten'!D7</f>
        <v>0</v>
      </c>
      <c r="I31" s="34">
        <f>$G31*'Preise Lieferanten'!E7</f>
        <v>0</v>
      </c>
      <c r="J31" s="34">
        <f>$G31*'Preise Lieferanten'!F7</f>
        <v>0</v>
      </c>
      <c r="K31" s="34">
        <f>$G31*'Preise Lieferanten'!G7</f>
        <v>0</v>
      </c>
      <c r="M31" t="s">
        <v>92</v>
      </c>
    </row>
    <row r="32" spans="1:13" x14ac:dyDescent="0.25">
      <c r="B32" t="s">
        <v>48</v>
      </c>
      <c r="D32" t="s">
        <v>81</v>
      </c>
      <c r="F32" s="38"/>
      <c r="G32" s="38">
        <f>(SUMIFS(Auftrag!B24:B27,Auftrag!D24:D27,"Randstreifen + PE-Folie + Perlit")+SUMIFS(Auftrag!B34:B37,Auftrag!D34:D37,"Randstreifen + PE-Folie + Perlit")+SUMIFS(Auftrag!B45:B48,Auftrag!D45:D48,"Randstreifen + PE-Folie + Perlit"))/100</f>
        <v>0</v>
      </c>
      <c r="H32" s="34">
        <f>$G32*'Preise Lieferanten'!D6</f>
        <v>0</v>
      </c>
      <c r="I32" s="34">
        <f>$G32*'Preise Lieferanten'!E6</f>
        <v>0</v>
      </c>
      <c r="J32" s="34">
        <f>$G32*'Preise Lieferanten'!F6</f>
        <v>0</v>
      </c>
      <c r="K32" s="34">
        <f>$G32*'Preise Lieferanten'!G6</f>
        <v>0</v>
      </c>
      <c r="M32" t="s">
        <v>92</v>
      </c>
    </row>
    <row r="34" spans="2:11" x14ac:dyDescent="0.25">
      <c r="B34" t="s">
        <v>82</v>
      </c>
      <c r="D34" t="s">
        <v>83</v>
      </c>
      <c r="F34">
        <f>ROUNDUP(F2/48+F3/56,0)</f>
        <v>0</v>
      </c>
      <c r="H34" s="34">
        <f>$F34*'Preise Lieferanten'!D10</f>
        <v>0</v>
      </c>
      <c r="I34" s="34">
        <f>$F34*'Preise Lieferanten'!E10</f>
        <v>0</v>
      </c>
      <c r="J34" s="34">
        <f>$F34*'Preise Lieferanten'!F10</f>
        <v>0</v>
      </c>
      <c r="K34" s="34">
        <f>$F34*'Preise Lieferanten'!G10</f>
        <v>0</v>
      </c>
    </row>
    <row r="35" spans="2:11" x14ac:dyDescent="0.25">
      <c r="B35" t="s">
        <v>57</v>
      </c>
      <c r="H35" s="34">
        <f>($F2*25+$F3*25)/1000*'Preise Lieferanten'!D11</f>
        <v>0</v>
      </c>
      <c r="I35" s="34">
        <f>ROUNDUP(($F2*25+$F3*25)/1000,0)*'Preise Lieferanten'!E18</f>
        <v>0</v>
      </c>
      <c r="J35" s="34">
        <f>$F34*'Preise Lieferanten'!F12</f>
        <v>0</v>
      </c>
      <c r="K35" s="34">
        <f>$F34*'Preise Lieferanten'!G12</f>
        <v>0</v>
      </c>
    </row>
    <row r="36" spans="2:11" x14ac:dyDescent="0.25">
      <c r="B36" t="s">
        <v>84</v>
      </c>
      <c r="H36" s="34">
        <f>SUM('Preise Lieferanten'!D19:D21)</f>
        <v>60.430000000000007</v>
      </c>
      <c r="I36" s="34">
        <f>SUM('Preise Lieferanten'!E16:E17)</f>
        <v>101.5</v>
      </c>
      <c r="J36" s="34">
        <f>SUM('Preise Lieferanten'!F19,'Preise Lieferanten'!F21)</f>
        <v>69.5</v>
      </c>
      <c r="K36" s="34">
        <f>'Preise Lieferanten'!G14+'Preise Lieferanten'!G15</f>
        <v>55</v>
      </c>
    </row>
    <row r="38" spans="2:11" s="5" customFormat="1" x14ac:dyDescent="0.25">
      <c r="B38" s="5" t="s">
        <v>85</v>
      </c>
      <c r="H38" s="39">
        <f>SUM(H2:H36)</f>
        <v>60.430000000000007</v>
      </c>
      <c r="I38" s="39">
        <f t="shared" ref="I38:K38" si="3">SUM(I2:I36)</f>
        <v>101.5</v>
      </c>
      <c r="J38" s="39">
        <f t="shared" si="3"/>
        <v>69.5</v>
      </c>
      <c r="K38" s="39">
        <f t="shared" si="3"/>
        <v>55</v>
      </c>
    </row>
    <row r="42" spans="2:11" x14ac:dyDescent="0.25">
      <c r="B42" t="s">
        <v>88</v>
      </c>
      <c r="G42" s="42" cm="1">
        <f t="array" ref="G42">((SUMPRODUCT((Auftrag!D21:D27="Anhydritestrich")*VALUE(Auftrag!B21:B27)*VALUE(Auftrag!C21:C27))+SUMPRODUCT((Auftrag!D31:D37="Anhydritestrich")*VALUE(Auftrag!B31:B37)*VALUE(Auftrag!C31:C37))+SUMPRODUCT((Auftrag!D41:D48="Anhydritestrich")*VALUE(Auftrag!B41:B48)*VALUE(Auftrag!C41:C48)))+(SUMPRODUCT(--ISNUMBER(SEARCH("Zementestrich",Auftrag!D21:D27))*Auftrag!B21:B27*Auftrag!C21:C27)+SUMPRODUCT(--ISNUMBER(SEARCH("Zementestrich",Auftrag!D31:D37))*VALUE(Auftrag!B31:B37)*VALUE(Auftrag!C31:C37))+SUMPRODUCT(--ISNUMBER(SEARCH("Zementestrich",Auftrag!D41:D48))*VALUE(Auftrag!B41:B48)*VALUE(Auftrag!C41:C48))))/1000*1.8</f>
        <v>0</v>
      </c>
      <c r="H42" s="43">
        <f>G42*39</f>
        <v>0</v>
      </c>
    </row>
    <row r="43" spans="2:11" x14ac:dyDescent="0.25">
      <c r="B43" t="s">
        <v>89</v>
      </c>
      <c r="G43" s="42" cm="1">
        <f t="array" ref="G43">(SUMPRODUCT((Auftrag!D21:D27="gebundene Splittschüttung")*VALUE(Auftrag!B21:B27)*VALUE(Auftrag!C21:C27))+SUMPRODUCT((Auftrag!D31:D37="gebundene Splittschüttung")*VALUE(Auftrag!B31:B37)*VALUE(Auftrag!C31:C37))+SUMPRODUCT((Auftrag!D41:D48="gebundene Splittschüttung")*VALUE(Auftrag!B41:B48)*VALUE(Auftrag!C41:C48)))/1000*1.8</f>
        <v>0</v>
      </c>
      <c r="H43" s="43">
        <f>G43*39</f>
        <v>0</v>
      </c>
    </row>
  </sheetData>
  <pageMargins left="0.7" right="0.7" top="0.78740157499999996" bottom="0.78740157499999996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61B166A-9058-4445-A63C-C1E94DE24D78}">
            <x14:iconSet custom="1">
              <x14:cfvo type="percent">
                <xm:f>0</xm:f>
              </x14:cfvo>
              <x14:cfvo type="percent">
                <xm:f>10</xm:f>
              </x14:cfvo>
              <x14:cfvo type="percent">
                <xm:f>67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H38:K38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E8D24-59FF-406E-8A92-351A28CD0043}">
  <dimension ref="A1:D8"/>
  <sheetViews>
    <sheetView workbookViewId="0">
      <selection activeCell="A8" sqref="A8:D14"/>
    </sheetView>
  </sheetViews>
  <sheetFormatPr baseColWidth="10" defaultRowHeight="15" x14ac:dyDescent="0.25"/>
  <cols>
    <col min="1" max="1" width="34.5703125" customWidth="1"/>
    <col min="2" max="2" width="34.5703125" style="35" customWidth="1"/>
  </cols>
  <sheetData>
    <row r="1" spans="1:4" x14ac:dyDescent="0.25">
      <c r="A1" t="s">
        <v>90</v>
      </c>
    </row>
    <row r="3" spans="1:4" x14ac:dyDescent="0.25">
      <c r="A3" t="str">
        <f xml:space="preserve"> "hiermit bestellen wir für unser Bauvorhaben " &amp; Auftrag!B8</f>
        <v>hiermit bestellen wir für unser Bauvorhaben Gebuhr/ Ambos</v>
      </c>
    </row>
    <row r="4" spans="1:4" x14ac:dyDescent="0.25">
      <c r="A4" s="5" t="str">
        <f>" Adresse: " &amp; Auftrag!H8 &amp;" , " &amp;Auftrag!H9</f>
        <v xml:space="preserve"> Adresse: An der kalten Quelle 1 , 86825 Bad Wörshofen</v>
      </c>
      <c r="B4" s="44"/>
    </row>
    <row r="5" spans="1:4" x14ac:dyDescent="0.25">
      <c r="A5" t="s">
        <v>94</v>
      </c>
    </row>
    <row r="6" spans="1:4" x14ac:dyDescent="0.25">
      <c r="A6" t="s">
        <v>95</v>
      </c>
    </row>
    <row r="8" spans="1:4" x14ac:dyDescent="0.25">
      <c r="A8" t="e" cm="1" vm="1">
        <f t="array" ref="A8">_xlfn._xlws.FILTER(Material!B2:B32, Material!G2:G32&gt;0)</f>
        <v>#VALUE!</v>
      </c>
      <c r="B8" s="35" t="e" cm="1" vm="1">
        <f t="array" ref="B8">_xlfn._xlws.FILTER(Material!C2:C32, Material!G2:G32&gt;0)</f>
        <v>#VALUE!</v>
      </c>
      <c r="C8" t="e" cm="1" vm="1">
        <f t="array" ref="C8">_xlfn._xlws.FILTER(Material!G2:G32, Material!G2:G32&gt;0)</f>
        <v>#VALUE!</v>
      </c>
      <c r="D8" t="e" cm="1" vm="1">
        <f t="array" ref="D8">_xlfn._xlws.FILTER(Material!M2:M32, Material!G2:G32&gt;0)</f>
        <v>#VALUE!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A5A0-03A8-4F76-9E4F-C33B37DEBCD1}">
  <dimension ref="A1:G30"/>
  <sheetViews>
    <sheetView workbookViewId="0">
      <selection activeCell="F28" sqref="F28"/>
    </sheetView>
  </sheetViews>
  <sheetFormatPr baseColWidth="10" defaultRowHeight="15" x14ac:dyDescent="0.25"/>
  <cols>
    <col min="1" max="1" width="27.5703125" bestFit="1" customWidth="1"/>
    <col min="2" max="3" width="21.7109375" customWidth="1"/>
    <col min="4" max="4" width="13" customWidth="1"/>
    <col min="5" max="5" width="17.85546875" customWidth="1"/>
    <col min="6" max="6" width="19.28515625" customWidth="1"/>
    <col min="7" max="7" width="18.7109375" style="30" customWidth="1"/>
  </cols>
  <sheetData>
    <row r="1" spans="1:7" x14ac:dyDescent="0.25">
      <c r="B1" t="s">
        <v>35</v>
      </c>
      <c r="C1" t="s">
        <v>36</v>
      </c>
      <c r="D1" t="s">
        <v>37</v>
      </c>
      <c r="E1" t="s">
        <v>38</v>
      </c>
      <c r="F1" t="s">
        <v>39</v>
      </c>
      <c r="G1" s="30" t="s">
        <v>40</v>
      </c>
    </row>
    <row r="2" spans="1:7" x14ac:dyDescent="0.25">
      <c r="A2" t="s">
        <v>41</v>
      </c>
      <c r="B2" t="s">
        <v>42</v>
      </c>
      <c r="C2" t="s">
        <v>43</v>
      </c>
      <c r="D2" s="30">
        <v>5</v>
      </c>
      <c r="E2" s="30">
        <v>4.9000000000000004</v>
      </c>
      <c r="F2" s="30">
        <v>4.9000000000000004</v>
      </c>
      <c r="G2" s="30">
        <v>4.99</v>
      </c>
    </row>
    <row r="3" spans="1:7" x14ac:dyDescent="0.25">
      <c r="A3" t="s">
        <v>44</v>
      </c>
      <c r="B3" t="s">
        <v>42</v>
      </c>
      <c r="C3" t="s">
        <v>43</v>
      </c>
      <c r="D3" s="30">
        <v>4.25</v>
      </c>
      <c r="E3" s="30">
        <v>4.25</v>
      </c>
      <c r="F3" s="30">
        <v>4.3</v>
      </c>
      <c r="G3" s="30">
        <v>4.25</v>
      </c>
    </row>
    <row r="4" spans="1:7" x14ac:dyDescent="0.25">
      <c r="A4" t="s">
        <v>45</v>
      </c>
      <c r="B4" t="s">
        <v>46</v>
      </c>
      <c r="D4" s="30">
        <v>49</v>
      </c>
      <c r="E4" s="30">
        <v>48</v>
      </c>
      <c r="F4" s="30">
        <v>51</v>
      </c>
      <c r="G4" s="30">
        <v>52</v>
      </c>
    </row>
    <row r="5" spans="1:7" x14ac:dyDescent="0.25">
      <c r="A5" t="s">
        <v>47</v>
      </c>
      <c r="B5" t="s">
        <v>46</v>
      </c>
      <c r="D5" s="30">
        <v>42</v>
      </c>
      <c r="E5" s="30">
        <v>44</v>
      </c>
      <c r="F5" s="30">
        <v>41</v>
      </c>
      <c r="G5" s="30">
        <v>44.91</v>
      </c>
    </row>
    <row r="6" spans="1:7" x14ac:dyDescent="0.25">
      <c r="A6" t="s">
        <v>48</v>
      </c>
      <c r="B6" t="s">
        <v>49</v>
      </c>
      <c r="C6" t="s">
        <v>50</v>
      </c>
      <c r="D6" s="30">
        <v>29</v>
      </c>
      <c r="E6" s="30">
        <v>19</v>
      </c>
      <c r="F6" s="30">
        <v>28</v>
      </c>
      <c r="G6" s="30">
        <v>18</v>
      </c>
    </row>
    <row r="7" spans="1:7" x14ac:dyDescent="0.25">
      <c r="A7" t="s">
        <v>51</v>
      </c>
      <c r="B7" t="s">
        <v>52</v>
      </c>
      <c r="C7" t="s">
        <v>43</v>
      </c>
      <c r="D7" s="30">
        <v>26.72</v>
      </c>
      <c r="E7" s="30">
        <v>27.7</v>
      </c>
      <c r="F7" s="30">
        <v>26.85</v>
      </c>
      <c r="G7" s="30">
        <v>24.5</v>
      </c>
    </row>
    <row r="8" spans="1:7" x14ac:dyDescent="0.25">
      <c r="A8" t="s">
        <v>53</v>
      </c>
      <c r="B8" t="s">
        <v>54</v>
      </c>
      <c r="C8" t="s">
        <v>50</v>
      </c>
      <c r="D8" s="30">
        <v>12.5</v>
      </c>
      <c r="E8" s="30">
        <v>11.4</v>
      </c>
      <c r="F8" s="30">
        <v>9.9</v>
      </c>
      <c r="G8" s="30">
        <v>8.1999999999999993</v>
      </c>
    </row>
    <row r="9" spans="1:7" x14ac:dyDescent="0.25">
      <c r="D9" s="30"/>
      <c r="E9" s="30"/>
      <c r="F9" s="30"/>
    </row>
    <row r="10" spans="1:7" x14ac:dyDescent="0.25">
      <c r="A10" t="s">
        <v>55</v>
      </c>
      <c r="B10" t="s">
        <v>56</v>
      </c>
      <c r="D10" s="30">
        <v>22</v>
      </c>
      <c r="E10" s="30">
        <v>20</v>
      </c>
      <c r="F10" s="30">
        <v>20</v>
      </c>
      <c r="G10" s="30">
        <v>25</v>
      </c>
    </row>
    <row r="11" spans="1:7" x14ac:dyDescent="0.25">
      <c r="A11" t="s">
        <v>57</v>
      </c>
      <c r="B11" t="s">
        <v>58</v>
      </c>
      <c r="D11" s="30">
        <v>9.5</v>
      </c>
      <c r="E11" s="30"/>
      <c r="F11" s="30"/>
    </row>
    <row r="12" spans="1:7" x14ac:dyDescent="0.25">
      <c r="A12" t="s">
        <v>57</v>
      </c>
      <c r="B12" t="s">
        <v>59</v>
      </c>
      <c r="D12" s="30"/>
      <c r="E12" s="30"/>
      <c r="F12" s="30">
        <v>13.5</v>
      </c>
      <c r="G12" s="30">
        <v>8.5</v>
      </c>
    </row>
    <row r="13" spans="1:7" x14ac:dyDescent="0.25">
      <c r="D13" s="30"/>
      <c r="E13" s="30"/>
      <c r="F13" s="30"/>
    </row>
    <row r="14" spans="1:7" x14ac:dyDescent="0.25">
      <c r="A14" t="s">
        <v>60</v>
      </c>
      <c r="B14" t="s">
        <v>56</v>
      </c>
      <c r="D14" s="30"/>
      <c r="E14" s="30"/>
      <c r="F14" s="30"/>
      <c r="G14" s="30">
        <v>22.5</v>
      </c>
    </row>
    <row r="15" spans="1:7" x14ac:dyDescent="0.25">
      <c r="A15" t="s">
        <v>61</v>
      </c>
      <c r="B15" t="s">
        <v>56</v>
      </c>
      <c r="D15" s="30"/>
      <c r="E15" s="30"/>
      <c r="F15" s="30"/>
      <c r="G15" s="30">
        <v>32.5</v>
      </c>
    </row>
    <row r="16" spans="1:7" x14ac:dyDescent="0.25">
      <c r="A16" t="s">
        <v>62</v>
      </c>
      <c r="B16" t="s">
        <v>56</v>
      </c>
      <c r="D16" s="30"/>
      <c r="E16" s="30">
        <v>82</v>
      </c>
      <c r="F16" s="30"/>
    </row>
    <row r="17" spans="1:7" x14ac:dyDescent="0.25">
      <c r="A17" t="s">
        <v>63</v>
      </c>
      <c r="B17" t="s">
        <v>56</v>
      </c>
      <c r="D17" s="30"/>
      <c r="E17" s="30">
        <v>19.5</v>
      </c>
      <c r="F17" s="30"/>
    </row>
    <row r="18" spans="1:7" ht="60" x14ac:dyDescent="0.25">
      <c r="A18" s="31" t="s">
        <v>64</v>
      </c>
      <c r="B18" t="s">
        <v>58</v>
      </c>
      <c r="D18" s="30"/>
      <c r="E18" s="30">
        <v>9.5</v>
      </c>
      <c r="F18" s="30"/>
    </row>
    <row r="19" spans="1:7" x14ac:dyDescent="0.25">
      <c r="A19" s="31" t="s">
        <v>65</v>
      </c>
      <c r="B19" t="s">
        <v>56</v>
      </c>
      <c r="D19" s="30">
        <v>32.200000000000003</v>
      </c>
      <c r="E19" s="30"/>
      <c r="F19" s="30">
        <v>35</v>
      </c>
    </row>
    <row r="20" spans="1:7" x14ac:dyDescent="0.25">
      <c r="A20" s="31" t="s">
        <v>66</v>
      </c>
      <c r="B20" t="s">
        <v>56</v>
      </c>
      <c r="D20" s="30">
        <v>11.28</v>
      </c>
      <c r="E20" s="30"/>
      <c r="F20" s="30"/>
    </row>
    <row r="21" spans="1:7" x14ac:dyDescent="0.25">
      <c r="A21" s="31" t="s">
        <v>67</v>
      </c>
      <c r="B21" t="s">
        <v>56</v>
      </c>
      <c r="D21" s="30">
        <v>16.95</v>
      </c>
      <c r="E21" s="30"/>
      <c r="F21" s="30">
        <v>34.5</v>
      </c>
    </row>
    <row r="22" spans="1:7" x14ac:dyDescent="0.25">
      <c r="D22" s="30"/>
      <c r="E22" s="30"/>
      <c r="F22" s="30"/>
    </row>
    <row r="23" spans="1:7" x14ac:dyDescent="0.25">
      <c r="A23" t="s">
        <v>68</v>
      </c>
      <c r="D23" s="30">
        <v>2.2999999999999998</v>
      </c>
      <c r="E23" s="30">
        <v>2.2000000000000002</v>
      </c>
      <c r="F23" s="30"/>
      <c r="G23" s="30">
        <v>2.4500000000000002</v>
      </c>
    </row>
    <row r="24" spans="1:7" x14ac:dyDescent="0.25">
      <c r="D24" s="30"/>
      <c r="E24" s="30"/>
      <c r="F24" s="30"/>
    </row>
    <row r="25" spans="1:7" x14ac:dyDescent="0.25">
      <c r="A25" t="s">
        <v>69</v>
      </c>
      <c r="B25" t="s">
        <v>19</v>
      </c>
      <c r="C25" t="s">
        <v>70</v>
      </c>
      <c r="D25" s="30"/>
      <c r="E25" s="30">
        <v>1.59</v>
      </c>
      <c r="F25" s="30"/>
    </row>
    <row r="26" spans="1:7" x14ac:dyDescent="0.25">
      <c r="A26" t="s">
        <v>71</v>
      </c>
      <c r="B26" t="s">
        <v>19</v>
      </c>
      <c r="C26" t="s">
        <v>70</v>
      </c>
      <c r="D26" s="30"/>
      <c r="E26" s="30">
        <v>1.71</v>
      </c>
      <c r="F26" s="30"/>
    </row>
    <row r="27" spans="1:7" x14ac:dyDescent="0.25">
      <c r="A27" t="s">
        <v>72</v>
      </c>
      <c r="B27" t="s">
        <v>19</v>
      </c>
      <c r="C27" t="s">
        <v>70</v>
      </c>
      <c r="D27" s="30"/>
      <c r="E27" s="30">
        <v>2.0299999999999998</v>
      </c>
      <c r="F27" s="30"/>
    </row>
    <row r="28" spans="1:7" x14ac:dyDescent="0.25">
      <c r="A28" t="s">
        <v>73</v>
      </c>
      <c r="B28" t="s">
        <v>19</v>
      </c>
      <c r="C28" t="s">
        <v>70</v>
      </c>
      <c r="D28" s="30"/>
      <c r="E28" s="30">
        <v>2.31</v>
      </c>
      <c r="F28" s="30"/>
    </row>
    <row r="29" spans="1:7" x14ac:dyDescent="0.25">
      <c r="A29" t="s">
        <v>74</v>
      </c>
      <c r="B29" t="s">
        <v>19</v>
      </c>
      <c r="C29" t="s">
        <v>70</v>
      </c>
      <c r="D29" s="30"/>
      <c r="E29" s="30">
        <v>2.4700000000000002</v>
      </c>
      <c r="F29" s="30"/>
    </row>
    <row r="30" spans="1:7" x14ac:dyDescent="0.25">
      <c r="A30" t="s">
        <v>75</v>
      </c>
      <c r="B30" t="s">
        <v>19</v>
      </c>
      <c r="C30" t="s">
        <v>70</v>
      </c>
      <c r="D30" s="30"/>
      <c r="E30" s="30">
        <v>2.75</v>
      </c>
      <c r="F30" s="30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191C-044B-42F9-8DAD-A1072BB0A6CD}">
  <dimension ref="A1:B7"/>
  <sheetViews>
    <sheetView workbookViewId="0">
      <selection activeCell="B13" sqref="B13"/>
    </sheetView>
  </sheetViews>
  <sheetFormatPr baseColWidth="10" defaultRowHeight="15" x14ac:dyDescent="0.25"/>
  <cols>
    <col min="1" max="1" width="14.7109375" bestFit="1" customWidth="1"/>
    <col min="2" max="3" width="34.28515625" bestFit="1" customWidth="1"/>
  </cols>
  <sheetData>
    <row r="1" spans="1:2" x14ac:dyDescent="0.25">
      <c r="A1" s="5" t="s">
        <v>28</v>
      </c>
      <c r="B1" s="5" t="s">
        <v>29</v>
      </c>
    </row>
    <row r="2" spans="1:2" x14ac:dyDescent="0.25">
      <c r="A2" t="s">
        <v>25</v>
      </c>
      <c r="B2" t="s">
        <v>30</v>
      </c>
    </row>
    <row r="3" spans="1:2" x14ac:dyDescent="0.25">
      <c r="A3" t="s">
        <v>26</v>
      </c>
      <c r="B3" t="s">
        <v>31</v>
      </c>
    </row>
    <row r="4" spans="1:2" x14ac:dyDescent="0.25">
      <c r="A4" t="s">
        <v>27</v>
      </c>
      <c r="B4" t="s">
        <v>87</v>
      </c>
    </row>
    <row r="5" spans="1:2" x14ac:dyDescent="0.25">
      <c r="A5" t="s">
        <v>97</v>
      </c>
      <c r="B5" t="s">
        <v>32</v>
      </c>
    </row>
    <row r="6" spans="1:2" x14ac:dyDescent="0.25">
      <c r="B6" t="s">
        <v>33</v>
      </c>
    </row>
    <row r="7" spans="1:2" x14ac:dyDescent="0.25">
      <c r="B7" t="s">
        <v>34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Auftrag</vt:lpstr>
      <vt:lpstr>Material</vt:lpstr>
      <vt:lpstr>Bestellung</vt:lpstr>
      <vt:lpstr>Preise Lieferanten</vt:lpstr>
      <vt:lpstr>Leistungen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Anes Husukic</dc:creator>
  <cp:lastModifiedBy>Melanie Fröhlich</cp:lastModifiedBy>
  <cp:lastPrinted>2022-02-25T12:40:21Z</cp:lastPrinted>
  <dcterms:created xsi:type="dcterms:W3CDTF">2015-06-05T18:19:34Z</dcterms:created>
  <dcterms:modified xsi:type="dcterms:W3CDTF">2026-06-12T11:09:42Z</dcterms:modified>
</cp:coreProperties>
</file>